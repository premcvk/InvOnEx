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slicers/slicer1.xml" ContentType="application/vnd.ms-excel.slicer+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929" codeName="{28389E77-7640-9E18-AD5C-E98E2F4A8B83}"/>
  <workbookPr codeName="ThisWorkbook"/>
  <mc:AlternateContent xmlns:mc="http://schemas.openxmlformats.org/markup-compatibility/2006">
    <mc:Choice Requires="x15">
      <x15ac:absPath xmlns:x15ac="http://schemas.microsoft.com/office/spreadsheetml/2010/11/ac" url="D:\Raven\Formats\Invoice\Excel Invoicing Engine\"/>
    </mc:Choice>
  </mc:AlternateContent>
  <xr:revisionPtr revIDLastSave="0" documentId="13_ncr:1_{A5E07947-812F-4CEF-A2FF-D83C4EA95693}" xr6:coauthVersionLast="47" xr6:coauthVersionMax="47" xr10:uidLastSave="{00000000-0000-0000-0000-000000000000}"/>
  <workbookProtection workbookAlgorithmName="SHA-512" workbookHashValue="9Xwf7qwv3+hbgeMVVEHzeFtBXGVQe8/Oa7pXG50nQ1nkpi2Qja4RGtg9XrwKHIhZfaz8eEWx9D0ivblTKmOQSg==" workbookSaltValue="qe9NrfaqjEKBTUq2coEcUw==" workbookSpinCount="100000" lockStructure="1"/>
  <bookViews>
    <workbookView showHorizontalScroll="0" showSheetTabs="0" xWindow="-120" yWindow="-120" windowWidth="29040" windowHeight="16440" xr2:uid="{00000000-000D-0000-FFFF-FFFF00000000}"/>
  </bookViews>
  <sheets>
    <sheet name="Intro &amp; Instns" sheetId="6" r:id="rId1"/>
    <sheet name="Supplier Master" sheetId="2" r:id="rId2"/>
    <sheet name="Receiver Master" sheetId="4" r:id="rId3"/>
    <sheet name="Inv List" sheetId="3" r:id="rId4"/>
    <sheet name="Invoice" sheetId="1" r:id="rId5"/>
  </sheets>
  <functionGroups builtInGroupCount="19"/>
  <definedNames>
    <definedName name="_xlcn.WorksheetConnection_InvRedMorel.xlsxInvoices" hidden="1">Invoices[]</definedName>
    <definedName name="_xlcn.WorksheetConnection_InvRedMorel.xlsxRecipient" hidden="1">Recipient</definedName>
    <definedName name="_xlcn.WorksheetConnection_InvRedMorel.xlsxSupplier" hidden="1">Supplier</definedName>
    <definedName name="_xlpm.Adr" hidden="1" xlm="1">#NAME?</definedName>
    <definedName name="_xlpm.BNum" hidden="1" xlm="1">#NAME?</definedName>
    <definedName name="_xlpm.BWord" hidden="1" xlm="1">#NAME?</definedName>
    <definedName name="_xlpm.C" hidden="1" xlm="1">#NAME?</definedName>
    <definedName name="_xlpm.caseStyle" hidden="1" xlm="1">#NAME?</definedName>
    <definedName name="_xlpm.CG" hidden="1" xlm="1">#NAME?</definedName>
    <definedName name="_xlpm.CGS" hidden="1" xlm="1">#NAME?</definedName>
    <definedName name="_xlpm.cgst" hidden="1" xlm="1">#NAME?</definedName>
    <definedName name="_xlpm.decPos" hidden="1" xlm="1">#NAME?</definedName>
    <definedName name="_xlpm.delim" hidden="1" xlm="1">#NAME?</definedName>
    <definedName name="_xlpm.desc" hidden="1" xlm="1">#NAME?</definedName>
    <definedName name="_xlpm.digit" hidden="1" xlm="1">#NAME?</definedName>
    <definedName name="_xlpm.FN" hidden="1" xlm="1">#NAME?</definedName>
    <definedName name="_xlpm.fracPart" hidden="1" xlm="1">#NAME?</definedName>
    <definedName name="_xlpm.fracWord" hidden="1" xlm="1">#NAME?</definedName>
    <definedName name="_xlpm.G" hidden="1" xlm="1">#NAME?</definedName>
    <definedName name="_xlpm.genNum" hidden="1" xlm="1">#NAME?</definedName>
    <definedName name="_xlpm.GS" hidden="1" xlm="1">#NAME?</definedName>
    <definedName name="_xlpm.GSS" hidden="1" xlm="1">#NAME?</definedName>
    <definedName name="_xlpm.GSST" hidden="1" xlm="1">#NAME?</definedName>
    <definedName name="_xlpm.GST" hidden="1" xlm="1">#NAME?</definedName>
    <definedName name="_xlpm.GSTT" hidden="1" xlm="1">#NAME?</definedName>
    <definedName name="_xlpm.GSTTY" hidden="1" xlm="1">#NAME?</definedName>
    <definedName name="_xlpm.GSTTYP" hidden="1" xlm="1">#NAME?</definedName>
    <definedName name="_xlpm.GSTTYPE" hidden="1" xlm="1">#NAME?</definedName>
    <definedName name="_xlpm.GStype" hidden="1" xlm="1">#NAME?</definedName>
    <definedName name="_xlpm.GSype" hidden="1" xlm="1">#NAME?</definedName>
    <definedName name="_xlpm.Gtype" hidden="1" xlm="1">#NAME?</definedName>
    <definedName name="_xlpm.Gype" hidden="1" xlm="1">#NAME?</definedName>
    <definedName name="_xlpm.HNum" hidden="1" xlm="1">#NAME?</definedName>
    <definedName name="_xlpm.HSC" hidden="1" xlm="1">#NAME?</definedName>
    <definedName name="_xlpm.HSCode" hidden="1" xlm="1">#NAME?</definedName>
    <definedName name="_xlpm.HST" hidden="1" xlm="1">#NAME?</definedName>
    <definedName name="_xlpm.HWord" hidden="1" xlm="1">#NAME?</definedName>
    <definedName name="_xlpm.I" hidden="1" xlm="1">#NAME?</definedName>
    <definedName name="_xlpm.IG" hidden="1" xlm="1">#NAME?</definedName>
    <definedName name="_xlpm.IGS" hidden="1" xlm="1">#NAME?</definedName>
    <definedName name="_xlpm.igst" hidden="1" xlm="1">#NAME?</definedName>
    <definedName name="_xlpm.IN" hidden="1" xlm="1">#NAME?</definedName>
    <definedName name="_xlpm.inv" hidden="1" xlm="1">#NAME?</definedName>
    <definedName name="_xlpm.InvN" hidden="1" xlm="1">#NAME?</definedName>
    <definedName name="_xlpm.InvNo" hidden="1" xlm="1">#NAME?</definedName>
    <definedName name="_xlpm.key" hidden="1" xlm="1">#NAME?</definedName>
    <definedName name="_xlpm.MNum" hidden="1" xlm="1">#NAME?</definedName>
    <definedName name="_xlpm.MWord" hidden="1" xlm="1">#NAME?</definedName>
    <definedName name="_xlpm.num" hidden="1" xlm="1">#NAME?</definedName>
    <definedName name="_xlpm.numWord" hidden="1" xlm="1">#NAME?</definedName>
    <definedName name="_xlpm.r" hidden="1" xlm="1">#NAME?</definedName>
    <definedName name="_xlpm.result" hidden="1" xlm="1">#NAME?</definedName>
    <definedName name="_xlpm.S" hidden="1" xlm="1">#NAME?</definedName>
    <definedName name="_xlpm.SA" hidden="1" xlm="1">#NAME?</definedName>
    <definedName name="_xlpm.SAC" hidden="1" xlm="1">#NAME?</definedName>
    <definedName name="_xlpm.SG" hidden="1" xlm="1">#NAME?</definedName>
    <definedName name="_xlpm.SGS" hidden="1" xlm="1">#NAME?</definedName>
    <definedName name="_xlpm.sgst" hidden="1" xlm="1">#NAME?</definedName>
    <definedName name="_xlpm.teen" hidden="1" xlm="1">#NAME?</definedName>
    <definedName name="_xlpm.ten" hidden="1" xlm="1">#NAME?</definedName>
    <definedName name="_xlpm.ThNum" hidden="1" xlm="1">#NAME?</definedName>
    <definedName name="_xlpm.ThWord" hidden="1" xlm="1">#NAME?</definedName>
    <definedName name="_xlpm.TrNum" hidden="1" xlm="1">#NAME?</definedName>
    <definedName name="_xlpm.TrWord" hidden="1" xlm="1">#NAME?</definedName>
    <definedName name="_xlpm.type" hidden="1" xlm="1">#NAME?</definedName>
    <definedName name="_xlpm.vals" hidden="1" xlm="1">#NAME?</definedName>
    <definedName name="_xlpm.x" hidden="1" xlm="1">#NAME?</definedName>
    <definedName name="_xlpm.y" hidden="1" xlm="1">#NAME?</definedName>
    <definedName name="_xlpm.z" hidden="1" xlm="1">#NAME?</definedName>
    <definedName name="FamilarNames">INDEX(Receivers[Familiar Name],0)</definedName>
    <definedName name="FN">_xlfn.XLOOKUP(Invoice!$K$11,Invoices[Document Number],Invoices[Familiar Name],,0,1)</definedName>
    <definedName name="Invoice_Numbers">Invoices[Document Number]</definedName>
    <definedName name="Logo">Invoice!$D$3</definedName>
    <definedName name="_xlnm.Print_Area" localSheetId="4">Invoice!$C$2:$H$42</definedName>
    <definedName name="_xlnm.Print_Area" localSheetId="1">'Supplier Master'!$D$5:$H$25</definedName>
    <definedName name="Slicer_Name">#N/A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6"/>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upplier" name="Supplier" connection="WorksheetConnection_Inv Red Morel.xlsx!Supplier"/>
          <x15:modelTable id="Recipient" name="Recipient" connection="WorksheetConnection_Inv Red Morel.xlsx!Recipient"/>
          <x15:modelTable id="Invoices" name="Invoices" connection="WorksheetConnection_Inv Red Morel.xlsx!Invoices"/>
        </x15:modelTables>
        <x15:modelRelationships>
          <x15:modelRelationship fromTable="Invoices" fromColumn="Name" toTable="Recipient" toColumn="Receiver"/>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9" i="1" l="1" a="1"/>
  <c r="F9" i="1" s="1"/>
  <c r="F6" i="1" a="1"/>
  <c r="F6" i="1" s="1"/>
  <c r="F5" i="1" a="1"/>
  <c r="F5" i="1" s="1"/>
  <c r="F7" i="1"/>
  <c r="D6" i="1"/>
  <c r="D9" i="1"/>
  <c r="D7" i="1"/>
  <c r="D5" i="1"/>
  <c r="F36" i="1" s="1"/>
  <c r="D29" i="1"/>
  <c r="D30" i="1" a="1"/>
  <c r="D30" i="1" s="1"/>
  <c r="D41" i="1"/>
  <c r="F41" i="1"/>
  <c r="E12" i="1"/>
  <c r="J10" i="3"/>
  <c r="K10" i="3"/>
  <c r="L10" i="3"/>
  <c r="P10" i="3"/>
  <c r="P6" i="3"/>
  <c r="P7" i="3"/>
  <c r="P8" i="3"/>
  <c r="P9" i="3"/>
  <c r="F29" i="1" l="1" a="1"/>
  <c r="F29" i="1" s="1"/>
  <c r="Q10" i="3"/>
  <c r="F3" i="1"/>
  <c r="F11" i="1"/>
  <c r="D20" i="1"/>
  <c r="D21" i="1" a="1"/>
  <c r="D21" i="1" s="1"/>
  <c r="M10" i="3"/>
  <c r="L6" i="3"/>
  <c r="L7" i="3"/>
  <c r="L8" i="3"/>
  <c r="L9" i="3"/>
  <c r="K6" i="3"/>
  <c r="G21" i="1" s="1" a="1"/>
  <c r="G21" i="1" s="1"/>
  <c r="K7" i="3"/>
  <c r="K8" i="3"/>
  <c r="K9" i="3"/>
  <c r="J6" i="3"/>
  <c r="J7" i="3"/>
  <c r="J8" i="3"/>
  <c r="J9" i="3"/>
  <c r="Q7" i="3" l="1"/>
  <c r="Q9" i="3"/>
  <c r="Q8" i="3"/>
  <c r="Q6" i="3"/>
  <c r="G18" i="1"/>
  <c r="F18" i="1"/>
  <c r="D18" i="1"/>
  <c r="E13" i="1"/>
  <c r="F11" i="3"/>
  <c r="M8" i="3" l="1"/>
  <c r="M9" i="3"/>
  <c r="J11" i="3"/>
  <c r="P11" i="3"/>
  <c r="M6" i="3"/>
  <c r="G25" i="1" l="1"/>
  <c r="M7" i="3"/>
  <c r="K11" i="3"/>
  <c r="L11" i="3"/>
  <c r="F12" i="1" a="1"/>
  <c r="F12" i="1" s="1"/>
  <c r="D27" i="1" a="1"/>
  <c r="D27" i="1" l="1"/>
  <c r="Q11" i="3"/>
  <c r="M11"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492C720-52C5-4534-98A4-9291CE0B6B0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9B5D5C7C-42C5-401A-9B7E-8E19B14C801A}" name="WorksheetConnection_Inv Red Morel.xlsx!Invoices" type="102" refreshedVersion="8" minRefreshableVersion="5">
    <extLst>
      <ext xmlns:x15="http://schemas.microsoft.com/office/spreadsheetml/2010/11/main" uri="{DE250136-89BD-433C-8126-D09CA5730AF9}">
        <x15:connection id="Invoices">
          <x15:rangePr sourceName="_xlcn.WorksheetConnection_InvRedMorel.xlsxInvoices"/>
        </x15:connection>
      </ext>
    </extLst>
  </connection>
  <connection id="3" xr16:uid="{ACBD491E-59B4-4359-A97A-4B1661E17CB2}" name="WorksheetConnection_Inv Red Morel.xlsx!Recipient" type="102" refreshedVersion="8" minRefreshableVersion="5">
    <extLst>
      <ext xmlns:x15="http://schemas.microsoft.com/office/spreadsheetml/2010/11/main" uri="{DE250136-89BD-433C-8126-D09CA5730AF9}">
        <x15:connection id="Recipient">
          <x15:rangePr sourceName="_xlcn.WorksheetConnection_InvRedMorel.xlsxRecipient"/>
        </x15:connection>
      </ext>
    </extLst>
  </connection>
  <connection id="4" xr16:uid="{4E7EFC74-A046-4D45-9E82-21B9D08ABE9E}" name="WorksheetConnection_Inv Red Morel.xlsx!Supplier" type="102" refreshedVersion="8" minRefreshableVersion="5">
    <extLst>
      <ext xmlns:x15="http://schemas.microsoft.com/office/spreadsheetml/2010/11/main" uri="{DE250136-89BD-433C-8126-D09CA5730AF9}">
        <x15:connection id="Supplier">
          <x15:rangePr sourceName="_xlcn.WorksheetConnection_InvRedMorel.xlsxSupplier"/>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<sst xmlns="http://schemas.openxmlformats.org/spreadsheetml/2006/main" count="179" uniqueCount="140">
  <si>
    <t>Date</t>
  </si>
  <si>
    <t>Supplier</t>
  </si>
  <si>
    <t>Description</t>
  </si>
  <si>
    <t>Amount</t>
  </si>
  <si>
    <t>GST %</t>
  </si>
  <si>
    <t>GST</t>
  </si>
  <si>
    <t>Total</t>
  </si>
  <si>
    <t>Net Pay</t>
  </si>
  <si>
    <t>Contact Details :</t>
  </si>
  <si>
    <t>Name</t>
  </si>
  <si>
    <t>GSTN</t>
  </si>
  <si>
    <t>City</t>
  </si>
  <si>
    <t>PIN</t>
  </si>
  <si>
    <t>State</t>
  </si>
  <si>
    <t>Recipient</t>
  </si>
  <si>
    <t>Mr.</t>
  </si>
  <si>
    <t>Particulars</t>
  </si>
  <si>
    <t>IGST</t>
  </si>
  <si>
    <t>CGST</t>
  </si>
  <si>
    <t>SGST</t>
  </si>
  <si>
    <t>Rate of Tax</t>
  </si>
  <si>
    <t>GST Type</t>
  </si>
  <si>
    <t>Invoice Value</t>
  </si>
  <si>
    <t>Title</t>
  </si>
  <si>
    <t>M/s.</t>
  </si>
  <si>
    <t>Service</t>
  </si>
  <si>
    <t>*e.&amp;o.e.</t>
  </si>
  <si>
    <t>Proforma Invoice</t>
  </si>
  <si>
    <t>11111111111111</t>
  </si>
  <si>
    <t>AAAA0666666</t>
  </si>
  <si>
    <t>Account Name :</t>
  </si>
  <si>
    <t>Account No. :</t>
  </si>
  <si>
    <t>Bank :</t>
  </si>
  <si>
    <t>IFS Code :</t>
  </si>
  <si>
    <t>Your Logo</t>
  </si>
  <si>
    <t>Bank Details</t>
  </si>
  <si>
    <t>Yes</t>
  </si>
  <si>
    <t>TDS %</t>
  </si>
  <si>
    <t>TDS ₹</t>
  </si>
  <si>
    <t>TDS Y/N</t>
  </si>
  <si>
    <t>No</t>
  </si>
  <si>
    <t>Familiar Name</t>
  </si>
  <si>
    <t>Invoice to Print</t>
  </si>
  <si>
    <t>Quotation</t>
  </si>
  <si>
    <t>Amount in Rupees:</t>
  </si>
  <si>
    <t>Exempt</t>
  </si>
  <si>
    <t>Tax invoice</t>
  </si>
  <si>
    <t>Instructions</t>
  </si>
  <si>
    <t>Supplier Master</t>
  </si>
  <si>
    <t>Receiver Master</t>
  </si>
  <si>
    <t>Contact Person</t>
  </si>
  <si>
    <t>Email ID</t>
  </si>
  <si>
    <t>Phone Number</t>
  </si>
  <si>
    <t>Address Line 1</t>
  </si>
  <si>
    <t>Address Line 2</t>
  </si>
  <si>
    <t>Click on "Click here to add logo" to attach a logo - if needed</t>
  </si>
  <si>
    <t>Contact Title</t>
  </si>
  <si>
    <t>Inv List</t>
  </si>
  <si>
    <t>Need Signature Card?</t>
  </si>
  <si>
    <t>Introduction</t>
  </si>
  <si>
    <t>Invoice Date</t>
  </si>
  <si>
    <t>Invoice No.</t>
  </si>
  <si>
    <t>Title or Contact title are the titles given to these peoples
(some examples: Mr. / Ms. / Mrs. / M/s. / Dr. / Prof. / CA / Adv. / Er.)</t>
  </si>
  <si>
    <t>"TDS Y/N" is weather to show TDS to be done on the face of the Invoice</t>
  </si>
  <si>
    <t>General</t>
  </si>
  <si>
    <t>This xlsm file is made in Microsoft Office 2024 and some formulas are not compatible with Libre Office
I might make a future release to ensure compatibility with Libre Office</t>
  </si>
  <si>
    <t>Limits and Workaround</t>
  </si>
  <si>
    <t>Workaround</t>
  </si>
  <si>
    <t>This utility can be used to generate Invoice for one Charging item (particulars) alone and one rate of tax</t>
  </si>
  <si>
    <t>Incase you want an invoice with few charging items (particulars) or multiple tax rates, you have to raise more than one invoice</t>
  </si>
  <si>
    <t>Enabling macros is needed to generate Invoices</t>
  </si>
  <si>
    <t>Door number</t>
  </si>
  <si>
    <t>"Need Signature Card?" is to show space for physically applying seal and signature</t>
  </si>
  <si>
    <t>With regard to phone numbers - you may or may not choose to have country code</t>
  </si>
  <si>
    <t>Credit Note</t>
  </si>
  <si>
    <t>Document Type</t>
  </si>
  <si>
    <t>Document Number</t>
  </si>
  <si>
    <t>Document Status</t>
  </si>
  <si>
    <t>001122</t>
  </si>
  <si>
    <t>SAC</t>
  </si>
  <si>
    <t>010101</t>
  </si>
  <si>
    <t>"SAC" coloumn is where you enter SAC Code</t>
  </si>
  <si>
    <t>Print Bank Details?</t>
  </si>
  <si>
    <t>Trade Name</t>
  </si>
  <si>
    <t>XYZ Private Limited</t>
  </si>
  <si>
    <t>00AAAAA0000A1ZA</t>
  </si>
  <si>
    <t>supplier@email.com</t>
  </si>
  <si>
    <t>#010</t>
  </si>
  <si>
    <t>nth Cross, Xyz Road</t>
  </si>
  <si>
    <t>Place</t>
  </si>
  <si>
    <t>000000</t>
  </si>
  <si>
    <t>Name of contact person</t>
  </si>
  <si>
    <t>+910000000000</t>
  </si>
  <si>
    <t>PIN Code</t>
  </si>
  <si>
    <t>Details of Supplier</t>
  </si>
  <si>
    <t>Address :</t>
  </si>
  <si>
    <t>abc Plazaria</t>
  </si>
  <si>
    <t>Building Name</t>
  </si>
  <si>
    <t>build name</t>
  </si>
  <si>
    <t>222222</t>
  </si>
  <si>
    <t>+911111111111</t>
  </si>
  <si>
    <t>+912222222222</t>
  </si>
  <si>
    <t>Name of Receiver</t>
  </si>
  <si>
    <t>Enjoy Hospitality</t>
  </si>
  <si>
    <t>Travel to Venus Pvt. Ltd.</t>
  </si>
  <si>
    <t>Venus</t>
  </si>
  <si>
    <t>Enjoy</t>
  </si>
  <si>
    <t>11BBBBB0000B1ZB</t>
  </si>
  <si>
    <t>Y Nagar</t>
  </si>
  <si>
    <t>Z Nagar</t>
  </si>
  <si>
    <t>3rd Cross, 5th Main</t>
  </si>
  <si>
    <t>3rd A Cross, 6th Main</t>
  </si>
  <si>
    <t>Joy Seb</t>
  </si>
  <si>
    <t>Sur Ghata</t>
  </si>
  <si>
    <t>joy.seb@gmail.com</t>
  </si>
  <si>
    <t>#3YZ</t>
  </si>
  <si>
    <t># 4n-by</t>
  </si>
  <si>
    <t>22CCCCC0000C1ZC</t>
  </si>
  <si>
    <t>This is a macro enabled excel file, so enable macros if prompted</t>
  </si>
  <si>
    <t>License</t>
  </si>
  <si>
    <t>Ensure the field "Familiar Name" is unique and is present across all rows</t>
  </si>
  <si>
    <t>I Prem Chowdhary VK am a young accounting professional made InvOnEx, this excel file a macro enabled xlsm file, Initially to help a few clients of mine to generate, store and retrieve their invoices
InvOnEx is a simple Excel-based invoicing system for freelancers and small businesses.</t>
  </si>
  <si>
    <t>This file is licensed under Creative Commons Attribution-NonCommercial-NoDerivatives 4.0 International License. (CC BY-NC-ND 4.0.)
Free to use and Redistribution is allowed with credit.
Modification and commercial use prohibited.</t>
  </si>
  <si>
    <t>xyz bank limited</t>
  </si>
  <si>
    <t>2508EM09</t>
  </si>
  <si>
    <t>2508TV10</t>
  </si>
  <si>
    <t>2509EM11</t>
  </si>
  <si>
    <t>2509TV12</t>
  </si>
  <si>
    <t>2601EM13</t>
  </si>
  <si>
    <t>Service Charge</t>
  </si>
  <si>
    <t>Consultation Charge</t>
  </si>
  <si>
    <t>AMC</t>
  </si>
  <si>
    <t>Technical Consulting</t>
  </si>
  <si>
    <t>Rent</t>
  </si>
  <si>
    <t>"Document Status" (the last coloumn) is here to mark when an invoice is cancelled</t>
  </si>
  <si>
    <t>Use the navigation buttons (blue boxes with labels) to switch between sheets</t>
  </si>
  <si>
    <t>By using this tool, you agree that the author shall not be held liable for any damages or consequences arising from its use.</t>
  </si>
  <si>
    <t>This Excel tool is provided "as is" without any warranties or guarantees of any kind. While efforts have been made to ensure accuracy and functionality, the author is not responsible for any errors, data loss, financial loss, or other issues resulting from the use of this tool.</t>
  </si>
  <si>
    <t>Users are advised to verify all outputs and use the tool at their own discretion. This project is intended for educational, productivity, and general use purposes only.</t>
  </si>
  <si>
    <t>Disclaimer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</si>
</sst>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 #,##0.00_ ;_ * \-#,##0.00_ ;_ * &quot;-&quot;??_ ;_ @_ "/>
    <numFmt numFmtId="164" formatCode="dd/mmm/yyyy"/>
    <numFmt numFmtId="165" formatCode="_ * #,##0_ ;_ * \-#,##0_ ;_ * &quot;-&quot;??_ ;_ @_ "/>
    <numFmt numFmtId="166" formatCode="_ [$₹-4009]\ * #,##0.0_ ;_ [$₹-4009]\ * \-#,##0.0_ ;_ [$₹-4009]\ * &quot;-&quot;??_ ;_ @_ "/>
    <numFmt numFmtId="167" formatCode="_ [$₹-4009]\ * #,##0_ ;_ [$₹-4009]\ * \-#,##0_ ;_ [$₹-4009]\ * &quot;-&quot;??_ ;_ @_ "/>
  </numFmts>
  <fonts count="18" x14ac:knownFonts="1">
    <font>
      <sz val="11"/>
      <color theme="1"/>
      <name val="Calibri"/>
      <family val="2"/>
      <scheme val="minor"/>
    </font>
    <font>
      <sz val="11"/>
      <color theme="1"/>
      <name val="Calibri"/>
      <family val="2"/>
      <scheme val="minor"/>
    </font>
    <font>
      <u/>
      <sz val="11"/>
      <color theme="10"/>
      <name val="Calibri"/>
      <family val="2"/>
      <scheme val="minor"/>
    </font>
    <font>
      <b/>
      <sz val="11"/>
      <color theme="1"/>
      <name val="Tenorite"/>
    </font>
    <font>
      <sz val="11"/>
      <color theme="1"/>
      <name val="Tenorite"/>
    </font>
    <font>
      <u/>
      <sz val="11"/>
      <color theme="10"/>
      <name val="Tenorite"/>
    </font>
    <font>
      <b/>
      <sz val="11"/>
      <color theme="0"/>
      <name val="Tenorite"/>
    </font>
    <font>
      <b/>
      <sz val="12"/>
      <color theme="1"/>
      <name val="Tenorite"/>
    </font>
    <font>
      <b/>
      <sz val="20"/>
      <color theme="1"/>
      <name val="Tenorite"/>
    </font>
    <font>
      <sz val="11"/>
      <color rgb="FF3F3F76"/>
      <name val="Calibri"/>
      <family val="2"/>
      <scheme val="minor"/>
    </font>
    <font>
      <sz val="12"/>
      <color theme="1"/>
      <name val="Tenorite"/>
    </font>
    <font>
      <b/>
      <sz val="22"/>
      <color theme="8"/>
      <name val="Tenorite"/>
    </font>
    <font>
      <b/>
      <sz val="14"/>
      <color theme="1"/>
      <name val="Tenorite"/>
    </font>
    <font>
      <sz val="11"/>
      <color theme="10"/>
      <name val="Tenorite"/>
    </font>
    <font>
      <u/>
      <sz val="12"/>
      <color theme="10"/>
      <name val="Tenorite"/>
    </font>
    <font>
      <b/>
      <sz val="14"/>
      <color rgb="FF3F3F76"/>
      <name val="Tenorite"/>
    </font>
    <font>
      <b/>
      <sz val="12"/>
      <color theme="0"/>
      <name val="Tenorite"/>
    </font>
    <font>
      <b/>
      <sz val="14"/>
      <color theme="0"/>
      <name val="Tenorite"/>
    </font>
  </fonts>
  <fills count="7">
    <fill>
      <patternFill patternType="none"/>
    </fill>
    <fill>
      <patternFill patternType="gray125"/>
    </fill>
    <fill>
      <patternFill patternType="solid">
        <fgColor theme="8"/>
        <bgColor theme="8"/>
      </patternFill>
    </fill>
    <fill>
      <patternFill patternType="solid">
        <fgColor theme="7" tint="0.39997558519241921"/>
        <bgColor indexed="64"/>
      </patternFill>
    </fill>
    <fill>
      <patternFill patternType="solid">
        <fgColor rgb="FFFFCC99"/>
      </patternFill>
    </fill>
    <fill>
      <patternFill patternType="solid">
        <fgColor theme="8" tint="-0.249977111117893"/>
        <bgColor indexed="64"/>
      </patternFill>
    </fill>
    <fill>
      <patternFill patternType="solid">
        <fgColor theme="8" tint="-0.499984740745262"/>
        <bgColor indexed="64"/>
      </patternFill>
    </fill>
  </fills>
  <borders count="27">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top style="thin">
        <color indexed="64"/>
      </top>
      <bottom style="double">
        <color indexed="64"/>
      </bottom>
      <diagonal/>
    </border>
    <border>
      <left/>
      <right/>
      <top/>
      <bottom style="thin">
        <color indexed="64"/>
      </bottom>
      <diagonal/>
    </border>
    <border>
      <left/>
      <right/>
      <top style="thin">
        <color theme="8"/>
      </top>
      <bottom/>
      <diagonal/>
    </border>
    <border>
      <left style="slantDashDot">
        <color theme="8" tint="-0.499984740745262"/>
      </left>
      <right/>
      <top style="slantDashDot">
        <color theme="8" tint="-0.499984740745262"/>
      </top>
      <bottom/>
      <diagonal/>
    </border>
    <border>
      <left/>
      <right/>
      <top style="slantDashDot">
        <color theme="8" tint="-0.499984740745262"/>
      </top>
      <bottom/>
      <diagonal/>
    </border>
    <border>
      <left/>
      <right style="slantDashDot">
        <color theme="8" tint="-0.499984740745262"/>
      </right>
      <top style="slantDashDot">
        <color theme="8" tint="-0.499984740745262"/>
      </top>
      <bottom/>
      <diagonal/>
    </border>
    <border>
      <left style="slantDashDot">
        <color theme="8" tint="-0.499984740745262"/>
      </left>
      <right/>
      <top/>
      <bottom/>
      <diagonal/>
    </border>
    <border>
      <left/>
      <right style="slantDashDot">
        <color theme="8" tint="-0.499984740745262"/>
      </right>
      <top/>
      <bottom/>
      <diagonal/>
    </border>
    <border>
      <left style="slantDashDot">
        <color theme="8" tint="-0.499984740745262"/>
      </left>
      <right/>
      <top/>
      <bottom style="slantDashDot">
        <color theme="8" tint="-0.499984740745262"/>
      </bottom>
      <diagonal/>
    </border>
    <border>
      <left/>
      <right/>
      <top/>
      <bottom style="slantDashDot">
        <color theme="8" tint="-0.499984740745262"/>
      </bottom>
      <diagonal/>
    </border>
    <border>
      <left/>
      <right style="slantDashDot">
        <color theme="8" tint="-0.499984740745262"/>
      </right>
      <top/>
      <bottom style="slantDashDot">
        <color theme="8"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style="thin">
        <color rgb="FF7F7F7F"/>
      </right>
      <top style="thin">
        <color rgb="FF7F7F7F"/>
      </top>
      <bottom style="thin">
        <color rgb="FF7F7F7F"/>
      </bottom>
      <diagonal/>
    </border>
    <border>
      <left style="thin">
        <color theme="9" tint="-0.24994659260841701"/>
      </left>
      <right style="thin">
        <color theme="9" tint="-0.24994659260841701"/>
      </right>
      <top style="thin">
        <color theme="9" tint="-0.24994659260841701"/>
      </top>
      <bottom style="thin">
        <color theme="9" tint="-0.24994659260841701"/>
      </bottom>
      <diagonal/>
    </border>
    <border>
      <left/>
      <right/>
      <top style="thin">
        <color rgb="FF7F7F7F"/>
      </top>
      <bottom style="thin">
        <color rgb="FF7F7F7F"/>
      </bottom>
      <diagonal/>
    </border>
    <border>
      <left style="thin">
        <color theme="9" tint="-0.24994659260841701"/>
      </left>
      <right/>
      <top style="thin">
        <color theme="9" tint="-0.24994659260841701"/>
      </top>
      <bottom style="thin">
        <color theme="9" tint="-0.24994659260841701"/>
      </bottom>
      <diagonal/>
    </border>
    <border>
      <left/>
      <right style="thin">
        <color theme="9" tint="-0.24994659260841701"/>
      </right>
      <top style="thin">
        <color theme="9" tint="-0.24994659260841701"/>
      </top>
      <bottom style="thin">
        <color theme="9" tint="-0.24994659260841701"/>
      </bottom>
      <diagonal/>
    </border>
  </borders>
  <cellStyleXfs count="5">
    <xf numFmtId="0" fontId="0" fillId="0" borderId="0"/>
    <xf numFmtId="43" fontId="1" fillId="0" borderId="0" applyFont="0" applyFill="0" applyBorder="0" applyAlignment="0" applyProtection="0"/>
    <xf numFmtId="0" fontId="2" fillId="0" borderId="0" applyNumberFormat="0" applyFill="0" applyBorder="0" applyAlignment="0" applyProtection="0"/>
    <xf numFmtId="9" fontId="1" fillId="0" borderId="0" applyFont="0" applyFill="0" applyBorder="0" applyAlignment="0" applyProtection="0"/>
    <xf numFmtId="0" fontId="9" fillId="4" borderId="21" applyNumberFormat="0" applyAlignment="0" applyProtection="0"/>
  </cellStyleXfs>
  <cellXfs count="102">
    <xf numFmtId="0" fontId="0" fillId="0" borderId="0" xfId="0"/>
    <xf numFmtId="0" fontId="4" fillId="0" borderId="0" xfId="0" applyFont="1" applyAlignment="1">
      <alignment vertical="center"/>
    </xf>
    <xf numFmtId="0" fontId="3" fillId="0" borderId="0" xfId="0" applyFont="1" applyAlignment="1">
      <alignment vertical="center"/>
    </xf>
    <xf numFmtId="0" fontId="3" fillId="0" borderId="0" xfId="0" applyFont="1" applyAlignment="1">
      <alignment horizontal="right" vertical="center"/>
    </xf>
    <xf numFmtId="0" fontId="3" fillId="0" borderId="0" xfId="0" applyFont="1" applyAlignment="1">
      <alignment horizontal="center" vertical="center"/>
    </xf>
    <xf numFmtId="0" fontId="11" fillId="0" borderId="0" xfId="0" applyFont="1" applyAlignment="1">
      <alignment horizontal="center" vertical="center"/>
    </xf>
    <xf numFmtId="0" fontId="10" fillId="0" borderId="0" xfId="0" applyFont="1" applyAlignment="1">
      <alignment vertical="center"/>
    </xf>
    <xf numFmtId="0" fontId="10" fillId="0" borderId="0" xfId="0" applyFont="1" applyAlignment="1">
      <alignment vertical="center" wrapText="1"/>
    </xf>
    <xf numFmtId="0" fontId="10" fillId="0" borderId="0" xfId="0" applyFont="1" applyAlignment="1" applyProtection="1">
      <alignment horizontal="left" vertical="center"/>
      <protection locked="0"/>
    </xf>
    <xf numFmtId="49" fontId="10" fillId="0" borderId="0" xfId="0" quotePrefix="1" applyNumberFormat="1" applyFont="1" applyAlignment="1" applyProtection="1">
      <alignment horizontal="left" vertical="center"/>
      <protection locked="0"/>
    </xf>
    <xf numFmtId="0" fontId="10" fillId="0" borderId="23" xfId="0" applyFont="1" applyBorder="1" applyProtection="1">
      <protection locked="0"/>
    </xf>
    <xf numFmtId="49" fontId="10" fillId="0" borderId="23" xfId="0" applyNumberFormat="1" applyFont="1" applyBorder="1" applyProtection="1">
      <protection locked="0"/>
    </xf>
    <xf numFmtId="0" fontId="14" fillId="0" borderId="23" xfId="2" applyFont="1" applyBorder="1" applyProtection="1">
      <protection locked="0"/>
    </xf>
    <xf numFmtId="0" fontId="16" fillId="5" borderId="23" xfId="0" applyFont="1" applyFill="1" applyBorder="1"/>
    <xf numFmtId="0" fontId="10" fillId="0" borderId="0" xfId="0" applyFont="1" applyAlignment="1">
      <alignment horizontal="right" vertical="center"/>
    </xf>
    <xf numFmtId="0" fontId="12" fillId="0" borderId="0" xfId="0" applyFont="1" applyAlignment="1">
      <alignment vertical="center"/>
    </xf>
    <xf numFmtId="0" fontId="4" fillId="0" borderId="0" xfId="0" applyFont="1" applyAlignment="1" applyProtection="1">
      <alignment vertical="center"/>
      <protection locked="0"/>
    </xf>
    <xf numFmtId="0" fontId="4" fillId="0" borderId="10" xfId="0" applyFont="1" applyBorder="1" applyAlignment="1" applyProtection="1">
      <alignment vertical="center"/>
      <protection locked="0"/>
    </xf>
    <xf numFmtId="49" fontId="4" fillId="0" borderId="10" xfId="0" applyNumberFormat="1" applyFont="1" applyBorder="1" applyAlignment="1" applyProtection="1">
      <alignment horizontal="center" vertical="center"/>
      <protection locked="0"/>
    </xf>
    <xf numFmtId="49" fontId="4" fillId="0" borderId="10" xfId="0" applyNumberFormat="1" applyFont="1" applyBorder="1" applyAlignment="1" applyProtection="1">
      <alignment vertical="center"/>
      <protection locked="0"/>
    </xf>
    <xf numFmtId="0" fontId="13" fillId="0" borderId="10" xfId="0" applyFont="1" applyBorder="1" applyAlignment="1" applyProtection="1">
      <alignment vertical="center"/>
      <protection locked="0"/>
    </xf>
    <xf numFmtId="0" fontId="6" fillId="2" borderId="0" xfId="0" applyFont="1" applyFill="1" applyAlignment="1">
      <alignment vertical="center"/>
    </xf>
    <xf numFmtId="0" fontId="6" fillId="2" borderId="0" xfId="0" applyFont="1" applyFill="1" applyAlignment="1">
      <alignment horizontal="center" vertical="center"/>
    </xf>
    <xf numFmtId="15" fontId="4" fillId="0" borderId="0" xfId="0" applyNumberFormat="1" applyFont="1" applyAlignment="1" applyProtection="1">
      <alignment vertical="center"/>
      <protection locked="0"/>
    </xf>
    <xf numFmtId="0" fontId="4" fillId="0" borderId="0" xfId="0" applyFont="1" applyAlignment="1" applyProtection="1">
      <alignment horizontal="center" vertical="center"/>
      <protection locked="0"/>
    </xf>
    <xf numFmtId="15" fontId="4" fillId="0" borderId="0" xfId="0" applyNumberFormat="1" applyFont="1" applyAlignment="1" applyProtection="1">
      <alignment horizontal="center" vertical="center"/>
      <protection locked="0"/>
    </xf>
    <xf numFmtId="43" fontId="4" fillId="0" borderId="0" xfId="1" applyFont="1" applyAlignment="1" applyProtection="1">
      <alignment vertical="center"/>
      <protection locked="0"/>
    </xf>
    <xf numFmtId="49" fontId="4" fillId="0" borderId="0" xfId="1" applyNumberFormat="1" applyFont="1" applyAlignment="1" applyProtection="1">
      <alignment horizontal="center" vertical="center"/>
      <protection locked="0"/>
    </xf>
    <xf numFmtId="9" fontId="4" fillId="0" borderId="0" xfId="3" applyFont="1" applyAlignment="1" applyProtection="1">
      <alignment horizontal="center" vertical="center"/>
      <protection locked="0"/>
    </xf>
    <xf numFmtId="43" fontId="4" fillId="0" borderId="0" xfId="1" applyFont="1" applyAlignment="1" applyProtection="1">
      <alignment horizontal="right" vertical="center"/>
      <protection locked="0"/>
    </xf>
    <xf numFmtId="43" fontId="4" fillId="0" borderId="0" xfId="1" applyFont="1" applyAlignment="1" applyProtection="1">
      <alignment horizontal="center" vertical="center"/>
      <protection locked="0"/>
    </xf>
    <xf numFmtId="0" fontId="4" fillId="0" borderId="0" xfId="0" applyFont="1" applyAlignment="1" applyProtection="1">
      <alignment horizontal="left" vertical="center"/>
      <protection locked="0"/>
    </xf>
    <xf numFmtId="43" fontId="4" fillId="0" borderId="0" xfId="0" applyNumberFormat="1" applyFont="1" applyAlignment="1" applyProtection="1">
      <alignment vertical="center"/>
      <protection locked="0"/>
    </xf>
    <xf numFmtId="0" fontId="4" fillId="0" borderId="0" xfId="0" applyFont="1" applyProtection="1">
      <protection locked="0"/>
    </xf>
    <xf numFmtId="0" fontId="0" fillId="0" borderId="0" xfId="0" applyProtection="1">
      <protection locked="0"/>
    </xf>
    <xf numFmtId="0" fontId="9" fillId="4" borderId="21" xfId="4" applyAlignment="1" applyProtection="1">
      <alignment horizontal="center" vertical="center"/>
      <protection locked="0"/>
    </xf>
    <xf numFmtId="0" fontId="10" fillId="0" borderId="0" xfId="0" applyFont="1" applyAlignment="1">
      <alignment horizontal="left" vertical="center" wrapText="1"/>
    </xf>
    <xf numFmtId="0" fontId="12" fillId="0" borderId="0" xfId="0" applyFont="1" applyAlignment="1">
      <alignment horizontal="left" vertical="center" wrapText="1"/>
    </xf>
    <xf numFmtId="0" fontId="10" fillId="0" borderId="0" xfId="0" applyFont="1" applyAlignment="1">
      <alignment horizontal="left" vertical="center"/>
    </xf>
    <xf numFmtId="0" fontId="4" fillId="0" borderId="0" xfId="0" applyFont="1" applyAlignment="1">
      <alignment horizontal="left" vertical="center" wrapText="1"/>
    </xf>
    <xf numFmtId="0" fontId="3" fillId="0" borderId="0" xfId="0" applyFont="1" applyAlignment="1">
      <alignment horizontal="left" vertical="center"/>
    </xf>
    <xf numFmtId="0" fontId="4" fillId="0" borderId="11" xfId="0" applyFont="1" applyBorder="1" applyAlignment="1">
      <alignment vertical="center"/>
    </xf>
    <xf numFmtId="0" fontId="4" fillId="0" borderId="12" xfId="0" applyFont="1" applyBorder="1" applyAlignment="1">
      <alignment vertical="center"/>
    </xf>
    <xf numFmtId="0" fontId="4" fillId="0" borderId="13" xfId="0" applyFont="1" applyBorder="1" applyAlignment="1">
      <alignment vertical="center"/>
    </xf>
    <xf numFmtId="0" fontId="4" fillId="0" borderId="14" xfId="0" applyFont="1" applyBorder="1" applyAlignment="1">
      <alignment vertical="center"/>
    </xf>
    <xf numFmtId="0" fontId="4" fillId="0" borderId="15" xfId="0" applyFont="1" applyBorder="1" applyAlignment="1">
      <alignment vertical="center"/>
    </xf>
    <xf numFmtId="0" fontId="9" fillId="4" borderId="21" xfId="4" applyAlignment="1" applyProtection="1">
      <alignment vertical="center"/>
    </xf>
    <xf numFmtId="0" fontId="3" fillId="0" borderId="1" xfId="0" applyFont="1" applyBorder="1" applyAlignment="1">
      <alignment horizontal="right" vertical="center" indent="2"/>
    </xf>
    <xf numFmtId="0" fontId="4" fillId="0" borderId="2" xfId="0" applyFont="1" applyBorder="1" applyAlignment="1">
      <alignment vertical="center"/>
    </xf>
    <xf numFmtId="0" fontId="4" fillId="0" borderId="5" xfId="0" applyFont="1" applyBorder="1" applyAlignment="1">
      <alignment horizontal="right" vertical="center"/>
    </xf>
    <xf numFmtId="167" fontId="4" fillId="0" borderId="6" xfId="1" applyNumberFormat="1" applyFont="1" applyBorder="1" applyAlignment="1" applyProtection="1">
      <alignment vertical="center"/>
    </xf>
    <xf numFmtId="0" fontId="3" fillId="0" borderId="3" xfId="0" applyFont="1" applyBorder="1" applyAlignment="1">
      <alignment horizontal="right" vertical="center" indent="2"/>
    </xf>
    <xf numFmtId="164" fontId="4" fillId="0" borderId="4" xfId="0" applyNumberFormat="1" applyFont="1" applyBorder="1" applyAlignment="1">
      <alignment horizontal="left" vertical="center"/>
    </xf>
    <xf numFmtId="0" fontId="4" fillId="0" borderId="3" xfId="0" applyFont="1" applyBorder="1" applyAlignment="1">
      <alignment horizontal="right" vertical="center"/>
    </xf>
    <xf numFmtId="167" fontId="4" fillId="0" borderId="4" xfId="1" applyNumberFormat="1" applyFont="1" applyBorder="1" applyAlignment="1" applyProtection="1">
      <alignment vertical="center"/>
    </xf>
    <xf numFmtId="0" fontId="3" fillId="0" borderId="0" xfId="0" applyFont="1" applyAlignment="1">
      <alignment horizontal="right" vertical="center" indent="2"/>
    </xf>
    <xf numFmtId="164" fontId="4" fillId="0" borderId="0" xfId="0" applyNumberFormat="1" applyFont="1" applyAlignment="1">
      <alignment horizontal="left" vertical="center"/>
    </xf>
    <xf numFmtId="0" fontId="4" fillId="0" borderId="0" xfId="0" applyFont="1" applyAlignment="1">
      <alignment horizontal="right" vertical="center"/>
    </xf>
    <xf numFmtId="167" fontId="4" fillId="0" borderId="0" xfId="1" applyNumberFormat="1" applyFont="1" applyBorder="1" applyAlignment="1" applyProtection="1">
      <alignment vertical="center"/>
    </xf>
    <xf numFmtId="0" fontId="5" fillId="0" borderId="0" xfId="2" applyFont="1" applyBorder="1" applyAlignment="1" applyProtection="1">
      <alignment vertical="center"/>
    </xf>
    <xf numFmtId="0" fontId="3" fillId="0" borderId="7" xfId="0" applyFont="1" applyBorder="1" applyAlignment="1">
      <alignment vertical="center"/>
    </xf>
    <xf numFmtId="0" fontId="3" fillId="0" borderId="7" xfId="0" applyFont="1" applyBorder="1" applyAlignment="1">
      <alignment horizontal="center" vertical="center"/>
    </xf>
    <xf numFmtId="0" fontId="3" fillId="0" borderId="7" xfId="0" applyFont="1" applyBorder="1" applyAlignment="1">
      <alignment horizontal="right" vertical="center"/>
    </xf>
    <xf numFmtId="0" fontId="4" fillId="0" borderId="0" xfId="0" applyFont="1" applyAlignment="1">
      <alignment horizontal="left" vertical="center" indent="2"/>
    </xf>
    <xf numFmtId="9" fontId="4" fillId="0" borderId="0" xfId="3" applyFont="1" applyBorder="1" applyAlignment="1" applyProtection="1">
      <alignment horizontal="center" vertical="center"/>
    </xf>
    <xf numFmtId="0" fontId="4" fillId="0" borderId="0" xfId="0" applyFont="1" applyAlignment="1">
      <alignment horizontal="center" vertical="center"/>
    </xf>
    <xf numFmtId="165" fontId="4" fillId="0" borderId="0" xfId="1" applyNumberFormat="1" applyFont="1" applyBorder="1" applyAlignment="1" applyProtection="1">
      <alignment vertical="center"/>
    </xf>
    <xf numFmtId="166" fontId="4" fillId="0" borderId="0" xfId="1" applyNumberFormat="1" applyFont="1" applyBorder="1" applyAlignment="1" applyProtection="1">
      <alignment vertical="center"/>
    </xf>
    <xf numFmtId="0" fontId="4" fillId="0" borderId="8" xfId="0" applyFont="1" applyBorder="1" applyAlignment="1">
      <alignment vertical="center"/>
    </xf>
    <xf numFmtId="167" fontId="4" fillId="0" borderId="8" xfId="1" applyNumberFormat="1" applyFont="1" applyBorder="1" applyAlignment="1" applyProtection="1">
      <alignment vertical="center"/>
    </xf>
    <xf numFmtId="0" fontId="4" fillId="0" borderId="16" xfId="0" applyFont="1" applyBorder="1" applyAlignment="1">
      <alignment vertical="center"/>
    </xf>
    <xf numFmtId="0" fontId="4" fillId="0" borderId="17" xfId="0" applyFont="1" applyBorder="1" applyAlignment="1">
      <alignment vertical="center"/>
    </xf>
    <xf numFmtId="0" fontId="4" fillId="0" borderId="18" xfId="0" applyFont="1" applyBorder="1" applyAlignment="1">
      <alignment vertical="center"/>
    </xf>
    <xf numFmtId="0" fontId="4" fillId="0" borderId="0" xfId="0" applyFont="1" applyAlignment="1">
      <alignment vertical="center" wrapText="1"/>
    </xf>
    <xf numFmtId="0" fontId="4" fillId="0" borderId="9" xfId="0" applyFont="1" applyBorder="1" applyAlignment="1">
      <alignment horizontal="right" vertical="center"/>
    </xf>
    <xf numFmtId="0" fontId="4" fillId="0" borderId="3" xfId="0" applyFont="1" applyBorder="1" applyAlignment="1">
      <alignment horizontal="left" vertical="top" wrapText="1"/>
    </xf>
    <xf numFmtId="0" fontId="4" fillId="0" borderId="4" xfId="0" applyFont="1" applyBorder="1" applyAlignment="1">
      <alignment horizontal="left" vertical="top" wrapText="1"/>
    </xf>
    <xf numFmtId="0" fontId="4" fillId="0" borderId="9" xfId="0" applyFont="1" applyBorder="1" applyAlignment="1">
      <alignment horizontal="left" vertical="center"/>
    </xf>
    <xf numFmtId="0" fontId="3" fillId="0" borderId="0" xfId="0" applyFont="1" applyAlignment="1">
      <alignment horizontal="right" vertical="center"/>
    </xf>
    <xf numFmtId="0" fontId="3" fillId="0" borderId="0" xfId="0" applyFont="1" applyAlignment="1">
      <alignment horizontal="center" vertical="center"/>
    </xf>
    <xf numFmtId="0" fontId="8" fillId="3" borderId="19" xfId="0" applyFont="1" applyFill="1" applyBorder="1" applyAlignment="1">
      <alignment horizontal="left" vertical="center"/>
    </xf>
    <xf numFmtId="0" fontId="8" fillId="3" borderId="7" xfId="0" applyFont="1" applyFill="1" applyBorder="1" applyAlignment="1">
      <alignment horizontal="left" vertical="center"/>
    </xf>
    <xf numFmtId="0" fontId="8" fillId="3" borderId="7" xfId="0" applyFont="1" applyFill="1" applyBorder="1" applyAlignment="1">
      <alignment horizontal="right" vertical="center"/>
    </xf>
    <xf numFmtId="0" fontId="8" fillId="3" borderId="20" xfId="0" applyFont="1" applyFill="1" applyBorder="1" applyAlignment="1">
      <alignment horizontal="right" vertical="center"/>
    </xf>
    <xf numFmtId="0" fontId="3" fillId="0" borderId="1" xfId="0" applyFont="1" applyBorder="1" applyAlignment="1">
      <alignment horizontal="center" vertical="center"/>
    </xf>
    <xf numFmtId="0" fontId="3" fillId="0" borderId="2" xfId="0" applyFont="1" applyBorder="1" applyAlignment="1">
      <alignment horizontal="center" vertical="center"/>
    </xf>
    <xf numFmtId="0" fontId="4" fillId="0" borderId="0" xfId="0" applyFont="1" applyAlignment="1">
      <alignment horizontal="left" vertical="center"/>
    </xf>
    <xf numFmtId="0" fontId="7" fillId="0" borderId="5" xfId="0" applyFont="1" applyBorder="1" applyAlignment="1">
      <alignment horizontal="left" vertical="center"/>
    </xf>
    <xf numFmtId="0" fontId="7" fillId="0" borderId="6" xfId="0" applyFont="1" applyBorder="1" applyAlignment="1">
      <alignment horizontal="left" vertical="center"/>
    </xf>
    <xf numFmtId="0" fontId="4" fillId="0" borderId="5" xfId="0" applyFont="1" applyBorder="1" applyAlignment="1">
      <alignment horizontal="left" vertical="center"/>
    </xf>
    <xf numFmtId="0" fontId="4" fillId="0" borderId="6" xfId="0" applyFont="1" applyBorder="1" applyAlignment="1">
      <alignment horizontal="left" vertical="center"/>
    </xf>
    <xf numFmtId="0" fontId="4" fillId="0" borderId="5" xfId="0" applyFont="1" applyBorder="1" applyAlignment="1">
      <alignment horizontal="left" vertical="top" wrapText="1"/>
    </xf>
    <xf numFmtId="0" fontId="4" fillId="0" borderId="6" xfId="0" applyFont="1" applyBorder="1" applyAlignment="1">
      <alignment horizontal="left" vertical="top" wrapText="1"/>
    </xf>
    <xf numFmtId="0" fontId="3" fillId="0" borderId="5" xfId="0" applyFont="1" applyBorder="1" applyAlignment="1">
      <alignment horizontal="left" vertical="center"/>
    </xf>
    <xf numFmtId="0" fontId="3" fillId="0" borderId="6" xfId="0" applyFont="1" applyBorder="1" applyAlignment="1">
      <alignment horizontal="left" vertical="center"/>
    </xf>
    <xf numFmtId="0" fontId="4" fillId="0" borderId="5" xfId="0" quotePrefix="1" applyFont="1" applyBorder="1" applyAlignment="1">
      <alignment horizontal="left" vertical="center"/>
    </xf>
    <xf numFmtId="0" fontId="15" fillId="4" borderId="24" xfId="4" applyFont="1" applyBorder="1" applyAlignment="1" applyProtection="1">
      <alignment horizontal="center" vertical="center"/>
    </xf>
    <xf numFmtId="0" fontId="15" fillId="4" borderId="22" xfId="4" applyFont="1" applyBorder="1" applyAlignment="1" applyProtection="1">
      <alignment horizontal="center" vertical="center"/>
    </xf>
    <xf numFmtId="0" fontId="12" fillId="0" borderId="23" xfId="0" applyFont="1" applyBorder="1" applyAlignment="1">
      <alignment horizontal="left"/>
    </xf>
    <xf numFmtId="0" fontId="12" fillId="0" borderId="25" xfId="0" applyFont="1" applyBorder="1" applyAlignment="1">
      <alignment horizontal="left" vertical="center"/>
    </xf>
    <xf numFmtId="0" fontId="12" fillId="0" borderId="26" xfId="0" applyFont="1" applyBorder="1" applyAlignment="1">
      <alignment horizontal="left" vertical="center"/>
    </xf>
    <xf numFmtId="0" fontId="17" fillId="6" borderId="0" xfId="0" applyFont="1" applyFill="1" applyAlignment="1">
      <alignment horizontal="center" vertical="center"/>
    </xf>
  </cellXfs>
  <cellStyles count="5">
    <cellStyle name="Comma" xfId="1" builtinId="3"/>
    <cellStyle name="Hyperlink" xfId="2" builtinId="8"/>
    <cellStyle name="Input" xfId="4" builtinId="20"/>
    <cellStyle name="Normal" xfId="0" builtinId="0"/>
    <cellStyle name="Per cent" xfId="3" builtinId="5"/>
  </cellStyles>
  <dxfs count="64">
    <dxf>
      <font>
        <b val="0"/>
        <i val="0"/>
        <strike val="0"/>
        <condense val="0"/>
        <extend val="0"/>
        <outline val="0"/>
        <shadow val="0"/>
        <u val="none"/>
        <vertAlign val="baseline"/>
        <sz val="11"/>
        <color theme="1"/>
        <name val="Tenorite"/>
        <scheme val="none"/>
      </font>
      <alignment horizontal="general" vertical="center" textRotation="0" wrapText="0" indent="0" justifyLastLine="0" shrinkToFit="0" readingOrder="0"/>
      <protection locked="0" hidden="0"/>
    </dxf>
    <dxf>
      <font>
        <strike val="0"/>
        <outline val="0"/>
        <shadow val="0"/>
        <u val="none"/>
        <vertAlign val="baseline"/>
        <sz val="11"/>
        <color theme="1"/>
        <name val="Tenorite"/>
        <scheme val="none"/>
      </font>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Tenorite"/>
        <scheme val="none"/>
      </font>
      <numFmt numFmtId="35" formatCode="_ * #,##0.00_ ;_ * \-#,##0.00_ ;_ * &quot;-&quot;??_ ;_ @_ "/>
      <alignment horizontal="general" vertical="center" textRotation="0" wrapText="0" indent="0" justifyLastLine="0" shrinkToFit="0" readingOrder="0"/>
      <protection locked="0" hidden="0"/>
    </dxf>
    <dxf>
      <font>
        <strike val="0"/>
        <outline val="0"/>
        <shadow val="0"/>
        <u val="none"/>
        <vertAlign val="baseline"/>
        <sz val="11"/>
        <color theme="1"/>
        <name val="Tenorite"/>
        <scheme val="none"/>
      </font>
      <numFmt numFmtId="35" formatCode="_ * #,##0.00_ ;_ * \-#,##0.00_ ;_ * &quot;-&quot;??_ ;_ @_ "/>
      <alignment vertical="center" textRotation="0" wrapText="0" indent="0" justifyLastLine="0" shrinkToFit="0" readingOrder="0"/>
      <protection locked="0" hidden="0"/>
    </dxf>
    <dxf>
      <font>
        <b val="0"/>
        <i val="0"/>
        <strike val="0"/>
        <condense val="0"/>
        <extend val="0"/>
        <outline val="0"/>
        <shadow val="0"/>
        <u val="none"/>
        <vertAlign val="baseline"/>
        <sz val="11"/>
        <color theme="1"/>
        <name val="Tenorite"/>
        <scheme val="none"/>
      </font>
      <numFmt numFmtId="35" formatCode="_ * #,##0.00_ ;_ * \-#,##0.00_ ;_ * &quot;-&quot;??_ ;_ @_ "/>
      <alignment horizontal="general" vertical="center" textRotation="0" wrapText="0" indent="0" justifyLastLine="0" shrinkToFit="0" readingOrder="0"/>
      <protection locked="0" hidden="0"/>
    </dxf>
    <dxf>
      <font>
        <strike val="0"/>
        <outline val="0"/>
        <shadow val="0"/>
        <u val="none"/>
        <vertAlign val="baseline"/>
        <sz val="11"/>
        <color theme="1"/>
        <name val="Tenorite"/>
        <scheme val="none"/>
      </font>
      <numFmt numFmtId="35" formatCode="_ * #,##0.00_ ;_ * \-#,##0.00_ ;_ * &quot;-&quot;??_ ;_ @_ "/>
      <alignment vertical="center" textRotation="0" wrapText="0" indent="0" justifyLastLine="0" shrinkToFit="0" readingOrder="0"/>
      <protection locked="0" hidden="0"/>
    </dxf>
    <dxf>
      <font>
        <b val="0"/>
        <i val="0"/>
        <strike val="0"/>
        <condense val="0"/>
        <extend val="0"/>
        <outline val="0"/>
        <shadow val="0"/>
        <u val="none"/>
        <vertAlign val="baseline"/>
        <sz val="11"/>
        <color theme="1"/>
        <name val="Tenorite"/>
        <scheme val="none"/>
      </font>
      <numFmt numFmtId="35" formatCode="_ * #,##0.00_ ;_ * \-#,##0.00_ ;_ * &quot;-&quot;??_ ;_ @_ "/>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theme="1"/>
        <name val="Tenorite"/>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Tenorite"/>
        <scheme val="none"/>
      </font>
      <numFmt numFmtId="35" formatCode="_ * #,##0.00_ ;_ * \-#,##0.00_ ;_ * &quot;-&quot;??_ ;_ @_ "/>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theme="1"/>
        <name val="Tenorite"/>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Tenorite"/>
        <scheme val="none"/>
      </font>
      <numFmt numFmtId="35" formatCode="_ * #,##0.00_ ;_ * \-#,##0.00_ ;_ * &quot;-&quot;??_ ;_ @_ "/>
      <alignment horizontal="general" vertical="center" textRotation="0" wrapText="0" indent="0" justifyLastLine="0" shrinkToFit="0" readingOrder="0"/>
      <protection locked="0" hidden="0"/>
    </dxf>
    <dxf>
      <font>
        <strike val="0"/>
        <outline val="0"/>
        <shadow val="0"/>
        <u val="none"/>
        <vertAlign val="baseline"/>
        <sz val="11"/>
        <color theme="1"/>
        <name val="Tenorite"/>
        <scheme val="none"/>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theme="1"/>
        <name val="Tenorite"/>
        <scheme val="none"/>
      </font>
      <numFmt numFmtId="35" formatCode="_ * #,##0.00_ ;_ * \-#,##0.00_ ;_ * &quot;-&quot;??_ ;_ @_ "/>
      <alignment horizontal="general" vertical="center" textRotation="0" wrapText="0" indent="0" justifyLastLine="0" shrinkToFit="0" readingOrder="0"/>
      <protection locked="0" hidden="0"/>
    </dxf>
    <dxf>
      <font>
        <strike val="0"/>
        <outline val="0"/>
        <shadow val="0"/>
        <u val="none"/>
        <vertAlign val="baseline"/>
        <sz val="11"/>
        <color theme="1"/>
        <name val="Tenorite"/>
        <scheme val="none"/>
      </font>
      <numFmt numFmtId="35" formatCode="_ * #,##0.00_ ;_ * \-#,##0.00_ ;_ * &quot;-&quot;??_ ;_ @_ "/>
      <alignment vertical="center" textRotation="0" wrapText="0" indent="0" justifyLastLine="0" shrinkToFit="0" readingOrder="0"/>
      <protection locked="0" hidden="0"/>
    </dxf>
    <dxf>
      <font>
        <b val="0"/>
        <i val="0"/>
        <strike val="0"/>
        <condense val="0"/>
        <extend val="0"/>
        <outline val="0"/>
        <shadow val="0"/>
        <u val="none"/>
        <vertAlign val="baseline"/>
        <sz val="11"/>
        <color theme="1"/>
        <name val="Tenorite"/>
        <scheme val="none"/>
      </font>
      <numFmt numFmtId="35" formatCode="_ * #,##0.00_ ;_ * \-#,##0.00_ ;_ * &quot;-&quot;??_ ;_ @_ "/>
      <alignment horizontal="general" vertical="center" textRotation="0" wrapText="0" indent="0" justifyLastLine="0" shrinkToFit="0" readingOrder="0"/>
      <protection locked="0" hidden="0"/>
    </dxf>
    <dxf>
      <font>
        <strike val="0"/>
        <outline val="0"/>
        <shadow val="0"/>
        <u val="none"/>
        <vertAlign val="baseline"/>
        <sz val="11"/>
        <color theme="1"/>
        <name val="Tenorite"/>
        <scheme val="none"/>
      </font>
      <numFmt numFmtId="35" formatCode="_ * #,##0.00_ ;_ * \-#,##0.00_ ;_ * &quot;-&quot;??_ ;_ @_ "/>
      <alignment vertical="center" textRotation="0" wrapText="0" indent="0" justifyLastLine="0" shrinkToFit="0" readingOrder="0"/>
      <protection locked="0" hidden="0"/>
    </dxf>
    <dxf>
      <font>
        <b val="0"/>
        <i val="0"/>
        <strike val="0"/>
        <condense val="0"/>
        <extend val="0"/>
        <outline val="0"/>
        <shadow val="0"/>
        <u val="none"/>
        <vertAlign val="baseline"/>
        <sz val="11"/>
        <color theme="1"/>
        <name val="Tenorite"/>
        <scheme val="none"/>
      </font>
      <numFmt numFmtId="35" formatCode="_ * #,##0.00_ ;_ * \-#,##0.00_ ;_ * &quot;-&quot;??_ ;_ @_ "/>
      <alignment horizontal="general" vertical="center" textRotation="0" wrapText="0" indent="0" justifyLastLine="0" shrinkToFit="0" readingOrder="0"/>
      <protection locked="0" hidden="0"/>
    </dxf>
    <dxf>
      <font>
        <strike val="0"/>
        <outline val="0"/>
        <shadow val="0"/>
        <u val="none"/>
        <vertAlign val="baseline"/>
        <sz val="11"/>
        <color theme="1"/>
        <name val="Tenorite"/>
        <scheme val="none"/>
      </font>
      <alignment horizontal="right" vertical="center" textRotation="0" wrapText="0" indent="0" justifyLastLine="0" shrinkToFit="0" readingOrder="0"/>
      <protection locked="0" hidden="0"/>
    </dxf>
    <dxf>
      <font>
        <b val="0"/>
        <i val="0"/>
        <strike val="0"/>
        <condense val="0"/>
        <extend val="0"/>
        <outline val="0"/>
        <shadow val="0"/>
        <u val="none"/>
        <vertAlign val="baseline"/>
        <sz val="11"/>
        <color theme="1"/>
        <name val="Tenorite"/>
        <scheme val="none"/>
      </font>
      <alignment horizontal="center" vertical="center" textRotation="0" wrapText="0" indent="0" justifyLastLine="0" shrinkToFit="0" readingOrder="0"/>
      <protection locked="0" hidden="0"/>
    </dxf>
    <dxf>
      <font>
        <strike val="0"/>
        <outline val="0"/>
        <shadow val="0"/>
        <u val="none"/>
        <vertAlign val="baseline"/>
        <sz val="11"/>
        <color theme="1"/>
        <name val="Tenorite"/>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Tenorite"/>
        <scheme val="none"/>
      </font>
      <alignment horizontal="center" vertical="center" textRotation="0" wrapText="0" indent="0" justifyLastLine="0" shrinkToFit="0" readingOrder="0"/>
      <protection locked="0" hidden="0"/>
    </dxf>
    <dxf>
      <font>
        <strike val="0"/>
        <outline val="0"/>
        <shadow val="0"/>
        <u val="none"/>
        <vertAlign val="baseline"/>
        <sz val="11"/>
        <color theme="1"/>
        <name val="Tenorite"/>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Tenorite"/>
        <scheme val="none"/>
      </font>
      <numFmt numFmtId="35" formatCode="_ * #,##0.00_ ;_ * \-#,##0.00_ ;_ * &quot;-&quot;??_ ;_ @_ "/>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theme="1"/>
        <name val="Tenorite"/>
        <scheme val="none"/>
      </font>
      <numFmt numFmtId="30" formatCode="@"/>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Tenorite"/>
        <scheme val="none"/>
      </font>
      <numFmt numFmtId="35" formatCode="_ * #,##0.00_ ;_ * \-#,##0.00_ ;_ * &quot;-&quot;??_ ;_ @_ "/>
      <alignment horizontal="general" vertical="center" textRotation="0" wrapText="0" indent="0" justifyLastLine="0" shrinkToFit="0" readingOrder="0"/>
      <protection locked="0" hidden="0"/>
    </dxf>
    <dxf>
      <font>
        <strike val="0"/>
        <outline val="0"/>
        <shadow val="0"/>
        <u val="none"/>
        <vertAlign val="baseline"/>
        <sz val="11"/>
        <color theme="1"/>
        <name val="Tenorite"/>
        <scheme val="none"/>
      </font>
      <alignment vertical="center" textRotation="0" wrapText="0" indent="0" justifyLastLine="0" shrinkToFit="0" readingOrder="0"/>
      <protection locked="0" hidden="0"/>
    </dxf>
    <dxf>
      <font>
        <b val="0"/>
        <i val="0"/>
        <strike val="0"/>
        <condense val="0"/>
        <extend val="0"/>
        <outline val="0"/>
        <shadow val="0"/>
        <u val="none"/>
        <vertAlign val="baseline"/>
        <sz val="11"/>
        <color theme="1"/>
        <name val="Tenorite"/>
        <scheme val="none"/>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theme="1"/>
        <name val="Tenorite"/>
        <scheme val="none"/>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theme="1"/>
        <name val="Tenorite"/>
        <scheme val="none"/>
      </font>
      <alignment horizontal="general" vertical="center" textRotation="0" wrapText="0" indent="0" justifyLastLine="0" shrinkToFit="0" readingOrder="0"/>
      <protection locked="0" hidden="0"/>
    </dxf>
    <dxf>
      <font>
        <strike val="0"/>
        <outline val="0"/>
        <shadow val="0"/>
        <u val="none"/>
        <vertAlign val="baseline"/>
        <sz val="11"/>
        <color theme="1"/>
        <name val="Tenorite"/>
        <scheme val="none"/>
      </font>
      <numFmt numFmtId="20" formatCode="dd/mmm/yy"/>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Tenorite"/>
        <scheme val="none"/>
      </font>
      <alignment horizontal="center" vertical="center" textRotation="0" wrapText="0" indent="0" justifyLastLine="0" shrinkToFit="0" readingOrder="0"/>
      <protection locked="0" hidden="0"/>
    </dxf>
    <dxf>
      <font>
        <strike val="0"/>
        <outline val="0"/>
        <shadow val="0"/>
        <u val="none"/>
        <vertAlign val="baseline"/>
        <sz val="11"/>
        <color theme="1"/>
        <name val="Tenorite"/>
        <scheme val="none"/>
      </font>
      <numFmt numFmtId="20" formatCode="dd/mmm/yy"/>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Tenorite"/>
        <scheme val="none"/>
      </font>
      <alignment horizontal="general" vertical="center" textRotation="0" wrapText="0" indent="0" justifyLastLine="0" shrinkToFit="0" readingOrder="0"/>
      <protection locked="0" hidden="0"/>
    </dxf>
    <dxf>
      <font>
        <strike val="0"/>
        <outline val="0"/>
        <shadow val="0"/>
        <u val="none"/>
        <vertAlign val="baseline"/>
        <sz val="11"/>
        <color theme="1"/>
        <name val="Tenorite"/>
        <scheme val="none"/>
      </font>
      <numFmt numFmtId="20" formatCode="dd/mmm/yy"/>
      <alignment vertical="center" textRotation="0" wrapText="0" indent="0" justifyLastLine="0" shrinkToFit="0" readingOrder="0"/>
      <protection locked="0" hidden="0"/>
    </dxf>
    <dxf>
      <font>
        <b val="0"/>
        <i val="0"/>
        <strike val="0"/>
        <condense val="0"/>
        <extend val="0"/>
        <outline val="0"/>
        <shadow val="0"/>
        <u val="none"/>
        <vertAlign val="baseline"/>
        <sz val="11"/>
        <color theme="1"/>
        <name val="Tenorite"/>
        <scheme val="none"/>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theme="1"/>
        <name val="Tenorite"/>
        <scheme val="none"/>
      </font>
      <alignment horizontal="general" vertical="center" textRotation="0" wrapText="0" indent="0" justifyLastLine="0" shrinkToFit="0" readingOrder="0"/>
      <protection locked="0" hidden="0"/>
    </dxf>
    <dxf>
      <font>
        <strike val="0"/>
        <outline val="0"/>
        <shadow val="0"/>
        <u val="none"/>
        <vertAlign val="baseline"/>
        <sz val="11"/>
        <color theme="1"/>
        <name val="Tenorite"/>
        <scheme val="none"/>
      </font>
      <protection locked="0" hidden="0"/>
    </dxf>
    <dxf>
      <font>
        <strike val="0"/>
        <outline val="0"/>
        <shadow val="0"/>
        <u val="none"/>
        <vertAlign val="baseline"/>
        <sz val="11"/>
        <color theme="1"/>
        <name val="Tenorite"/>
        <scheme val="none"/>
      </font>
      <alignment vertical="center" textRotation="0" wrapText="0" indent="0" justifyLastLine="0" shrinkToFit="0" readingOrder="0"/>
      <protection locked="0" hidden="0"/>
    </dxf>
    <dxf>
      <font>
        <b/>
        <strike val="0"/>
        <outline val="0"/>
        <shadow val="0"/>
        <u val="none"/>
        <vertAlign val="baseline"/>
        <sz val="11"/>
        <color theme="1"/>
        <name val="Tenorite"/>
        <scheme val="none"/>
      </font>
      <alignment vertical="center" textRotation="0" wrapText="0" indent="0" justifyLastLine="0" shrinkToFit="0" readingOrder="0"/>
      <protection locked="1" hidden="0"/>
    </dxf>
    <dxf>
      <font>
        <strike val="0"/>
        <outline val="0"/>
        <shadow val="0"/>
        <vertAlign val="baseline"/>
        <sz val="11"/>
        <name val="Tenorite"/>
        <scheme val="none"/>
      </font>
      <alignment vertical="center" textRotation="0" wrapText="0" indent="0" justifyLastLine="0" shrinkToFit="0" readingOrder="0"/>
      <protection locked="0" hidden="0"/>
    </dxf>
    <dxf>
      <font>
        <b val="0"/>
        <i val="0"/>
        <strike val="0"/>
        <condense val="0"/>
        <extend val="0"/>
        <outline val="0"/>
        <shadow val="0"/>
        <u val="none"/>
        <vertAlign val="baseline"/>
        <sz val="11"/>
        <color theme="1"/>
        <name val="Tenorite"/>
        <scheme val="none"/>
      </font>
      <numFmt numFmtId="30" formatCode="@"/>
      <alignment vertical="center" textRotation="0" wrapText="0" indent="0" justifyLastLine="0" shrinkToFit="0" readingOrder="0"/>
      <border diagonalUp="0" diagonalDown="0">
        <left/>
        <right/>
        <top style="thin">
          <color theme="8"/>
        </top>
        <bottom/>
      </border>
      <protection locked="0" hidden="0"/>
    </dxf>
    <dxf>
      <font>
        <b val="0"/>
        <i val="0"/>
        <strike val="0"/>
        <condense val="0"/>
        <extend val="0"/>
        <outline val="0"/>
        <shadow val="0"/>
        <u val="none"/>
        <vertAlign val="baseline"/>
        <sz val="11"/>
        <color theme="1"/>
        <name val="Tenorite"/>
        <scheme val="none"/>
      </font>
      <alignment vertical="center" textRotation="0" wrapText="0" indent="0" justifyLastLine="0" shrinkToFit="0" readingOrder="0"/>
      <border diagonalUp="0" diagonalDown="0">
        <left/>
        <right/>
        <top style="thin">
          <color theme="8"/>
        </top>
        <bottom/>
      </border>
      <protection locked="0" hidden="0"/>
    </dxf>
    <dxf>
      <font>
        <b val="0"/>
        <i val="0"/>
        <strike val="0"/>
        <condense val="0"/>
        <extend val="0"/>
        <outline val="0"/>
        <shadow val="0"/>
        <u val="none"/>
        <vertAlign val="baseline"/>
        <sz val="11"/>
        <color theme="1"/>
        <name val="Tenorite"/>
        <scheme val="none"/>
      </font>
      <alignment vertical="center" textRotation="0" wrapText="0" indent="0" justifyLastLine="0" shrinkToFit="0" readingOrder="0"/>
      <border diagonalUp="0" diagonalDown="0">
        <left/>
        <right/>
        <top style="thin">
          <color theme="8"/>
        </top>
        <bottom/>
      </border>
      <protection locked="0" hidden="0"/>
    </dxf>
    <dxf>
      <font>
        <b val="0"/>
        <i val="0"/>
        <strike val="0"/>
        <condense val="0"/>
        <extend val="0"/>
        <outline val="0"/>
        <shadow val="0"/>
        <u val="none"/>
        <vertAlign val="baseline"/>
        <sz val="11"/>
        <color theme="1"/>
        <name val="Tenorite"/>
        <scheme val="none"/>
      </font>
      <numFmt numFmtId="30" formatCode="@"/>
      <alignment horizontal="center" vertical="center" textRotation="0" wrapText="0" indent="0" justifyLastLine="0" shrinkToFit="0" readingOrder="0"/>
      <border diagonalUp="0" diagonalDown="0">
        <left/>
        <right/>
        <top style="thin">
          <color theme="8"/>
        </top>
        <bottom/>
      </border>
      <protection locked="0" hidden="0"/>
    </dxf>
    <dxf>
      <font>
        <b val="0"/>
        <i val="0"/>
        <strike val="0"/>
        <condense val="0"/>
        <extend val="0"/>
        <outline val="0"/>
        <shadow val="0"/>
        <u val="none"/>
        <vertAlign val="baseline"/>
        <sz val="11"/>
        <color theme="1"/>
        <name val="Tenorite"/>
        <scheme val="none"/>
      </font>
      <alignment vertical="center" textRotation="0" wrapText="0" indent="0" justifyLastLine="0" shrinkToFit="0" readingOrder="0"/>
      <border diagonalUp="0" diagonalDown="0">
        <left/>
        <right/>
        <top style="thin">
          <color theme="8"/>
        </top>
        <bottom/>
      </border>
      <protection locked="0" hidden="0"/>
    </dxf>
    <dxf>
      <font>
        <b val="0"/>
        <i val="0"/>
        <strike val="0"/>
        <condense val="0"/>
        <extend val="0"/>
        <outline val="0"/>
        <shadow val="0"/>
        <u val="none"/>
        <vertAlign val="baseline"/>
        <sz val="11"/>
        <color theme="1"/>
        <name val="Tenorite"/>
        <scheme val="none"/>
      </font>
      <alignment vertical="center" textRotation="0" wrapText="0" indent="0" justifyLastLine="0" shrinkToFit="0" readingOrder="0"/>
      <border diagonalUp="0" diagonalDown="0">
        <left/>
        <right/>
        <top style="thin">
          <color theme="8"/>
        </top>
        <bottom/>
      </border>
      <protection locked="0" hidden="0"/>
    </dxf>
    <dxf>
      <font>
        <strike val="0"/>
        <outline val="0"/>
        <shadow val="0"/>
        <vertAlign val="baseline"/>
        <sz val="11"/>
        <name val="Tenorite"/>
        <scheme val="none"/>
      </font>
      <alignment vertical="center" textRotation="0" wrapText="0" indent="0" justifyLastLine="0" shrinkToFit="0" readingOrder="0"/>
      <protection locked="0" hidden="0"/>
    </dxf>
    <dxf>
      <font>
        <b val="0"/>
        <i val="0"/>
        <strike val="0"/>
        <condense val="0"/>
        <extend val="0"/>
        <outline val="0"/>
        <shadow val="0"/>
        <u val="none"/>
        <vertAlign val="baseline"/>
        <sz val="11"/>
        <color theme="1"/>
        <name val="Tenorite"/>
        <scheme val="none"/>
      </font>
      <alignment vertical="center" textRotation="0" wrapText="0" indent="0" justifyLastLine="0" shrinkToFit="0" readingOrder="0"/>
      <border diagonalUp="0" diagonalDown="0">
        <left/>
        <right/>
        <top style="thin">
          <color theme="8"/>
        </top>
        <bottom/>
      </border>
      <protection locked="0" hidden="0"/>
    </dxf>
    <dxf>
      <font>
        <b val="0"/>
        <i val="0"/>
        <strike val="0"/>
        <condense val="0"/>
        <extend val="0"/>
        <outline val="0"/>
        <shadow val="0"/>
        <u val="none"/>
        <vertAlign val="baseline"/>
        <sz val="11"/>
        <color theme="1"/>
        <name val="Tenorite"/>
        <scheme val="none"/>
      </font>
      <alignment vertical="center" textRotation="0" wrapText="0" indent="0" justifyLastLine="0" shrinkToFit="0" readingOrder="0"/>
      <border diagonalUp="0" diagonalDown="0">
        <left/>
        <right/>
        <top style="thin">
          <color theme="8"/>
        </top>
        <bottom/>
      </border>
      <protection locked="0" hidden="0"/>
    </dxf>
    <dxf>
      <font>
        <b val="0"/>
        <i val="0"/>
        <strike val="0"/>
        <condense val="0"/>
        <extend val="0"/>
        <outline val="0"/>
        <shadow val="0"/>
        <u val="none"/>
        <vertAlign val="baseline"/>
        <sz val="11"/>
        <color theme="1"/>
        <name val="Tenorite"/>
        <scheme val="none"/>
      </font>
      <alignment vertical="center" textRotation="0" wrapText="0" indent="0" justifyLastLine="0" shrinkToFit="0" readingOrder="0"/>
      <border diagonalUp="0" diagonalDown="0">
        <left/>
        <right/>
        <top style="thin">
          <color theme="8"/>
        </top>
        <bottom/>
      </border>
      <protection locked="0" hidden="0"/>
    </dxf>
    <dxf>
      <font>
        <b val="0"/>
        <i val="0"/>
        <strike val="0"/>
        <condense val="0"/>
        <extend val="0"/>
        <outline val="0"/>
        <shadow val="0"/>
        <u val="none"/>
        <vertAlign val="baseline"/>
        <sz val="11"/>
        <color theme="1"/>
        <name val="Tenorite"/>
        <scheme val="none"/>
      </font>
      <alignment vertical="center" textRotation="0" wrapText="0" indent="0" justifyLastLine="0" shrinkToFit="0" readingOrder="0"/>
      <border diagonalUp="0" diagonalDown="0">
        <left/>
        <right/>
        <top style="thin">
          <color theme="8"/>
        </top>
        <bottom/>
      </border>
      <protection locked="0" hidden="0"/>
    </dxf>
    <dxf>
      <font>
        <b val="0"/>
        <i val="0"/>
        <strike val="0"/>
        <condense val="0"/>
        <extend val="0"/>
        <outline val="0"/>
        <shadow val="0"/>
        <u val="none"/>
        <vertAlign val="baseline"/>
        <sz val="11"/>
        <color theme="1"/>
        <name val="Tenorite"/>
        <scheme val="none"/>
      </font>
      <alignment vertical="center" textRotation="0" wrapText="0" indent="0" justifyLastLine="0" shrinkToFit="0" readingOrder="0"/>
      <border diagonalUp="0" diagonalDown="0">
        <left/>
        <right/>
        <top style="thin">
          <color theme="8"/>
        </top>
        <bottom/>
      </border>
      <protection locked="0" hidden="0"/>
    </dxf>
    <dxf>
      <font>
        <b val="0"/>
        <i val="0"/>
        <strike val="0"/>
        <condense val="0"/>
        <extend val="0"/>
        <outline val="0"/>
        <shadow val="0"/>
        <u val="none"/>
        <vertAlign val="baseline"/>
        <sz val="11"/>
        <color theme="1"/>
        <name val="Tenorite"/>
        <scheme val="none"/>
      </font>
      <alignment vertical="center" textRotation="0" wrapText="0" indent="0" justifyLastLine="0" shrinkToFit="0" readingOrder="0"/>
      <border diagonalUp="0" diagonalDown="0">
        <left/>
        <right/>
        <top style="thin">
          <color theme="8"/>
        </top>
        <bottom/>
      </border>
      <protection locked="0" hidden="0"/>
    </dxf>
    <dxf>
      <font>
        <b val="0"/>
        <i val="0"/>
        <strike val="0"/>
        <condense val="0"/>
        <extend val="0"/>
        <outline val="0"/>
        <shadow val="0"/>
        <u val="none"/>
        <vertAlign val="baseline"/>
        <sz val="11"/>
        <color theme="1"/>
        <name val="Tenorite"/>
        <scheme val="none"/>
      </font>
      <alignment vertical="center" textRotation="0" wrapText="0" indent="0" justifyLastLine="0" shrinkToFit="0" readingOrder="0"/>
      <border diagonalUp="0" diagonalDown="0">
        <left/>
        <right/>
        <top style="thin">
          <color theme="8"/>
        </top>
        <bottom/>
      </border>
      <protection locked="0" hidden="0"/>
    </dxf>
    <dxf>
      <border outline="0">
        <right style="thin">
          <color theme="8"/>
        </right>
        <top style="thin">
          <color theme="8"/>
        </top>
        <bottom style="thin">
          <color theme="8"/>
        </bottom>
      </border>
    </dxf>
    <dxf>
      <font>
        <b val="0"/>
        <i val="0"/>
        <strike val="0"/>
        <condense val="0"/>
        <extend val="0"/>
        <outline val="0"/>
        <shadow val="0"/>
        <u val="none"/>
        <vertAlign val="baseline"/>
        <sz val="11"/>
        <color theme="1"/>
        <name val="Tenorite"/>
        <scheme val="none"/>
      </font>
      <alignment vertical="center" textRotation="0" wrapText="0" indent="0" justifyLastLine="0" shrinkToFit="0" readingOrder="0"/>
      <protection locked="0" hidden="0"/>
    </dxf>
    <dxf>
      <font>
        <b/>
        <i val="0"/>
        <strike val="0"/>
        <condense val="0"/>
        <extend val="0"/>
        <outline val="0"/>
        <shadow val="0"/>
        <u val="none"/>
        <vertAlign val="baseline"/>
        <sz val="11"/>
        <color theme="0"/>
        <name val="Tenorite"/>
        <scheme val="none"/>
      </font>
      <fill>
        <patternFill patternType="solid">
          <fgColor theme="8"/>
          <bgColor theme="8"/>
        </patternFill>
      </fill>
      <alignment vertical="center" textRotation="0" wrapText="0" indent="0" justifyLastLine="0" shrinkToFit="0" readingOrder="0"/>
      <protection locked="1" hidden="0"/>
    </dxf>
    <dxf>
      <font>
        <b val="0"/>
        <i val="0"/>
        <strike val="0"/>
        <condense val="0"/>
        <extend val="0"/>
        <outline val="0"/>
        <shadow val="0"/>
        <u val="none"/>
        <vertAlign val="baseline"/>
        <sz val="12"/>
        <color theme="1"/>
        <name val="Tenorite"/>
        <scheme val="none"/>
      </font>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Tenorite"/>
        <scheme val="none"/>
      </font>
    </dxf>
    <dxf>
      <font>
        <b val="0"/>
        <i val="0"/>
        <strike val="0"/>
        <condense val="0"/>
        <extend val="0"/>
        <outline val="0"/>
        <shadow val="0"/>
        <u val="none"/>
        <vertAlign val="baseline"/>
        <sz val="12"/>
        <color theme="1"/>
        <name val="Tenorite"/>
        <scheme val="none"/>
      </font>
      <alignment horizontal="right" vertical="center" textRotation="0" wrapText="0" indent="0" justifyLastLine="0" shrinkToFit="0" readingOrder="0"/>
      <protection locked="1" hidden="0"/>
    </dxf>
    <dxf>
      <font>
        <b val="0"/>
        <i val="0"/>
        <strike val="0"/>
        <condense val="0"/>
        <extend val="0"/>
        <outline val="0"/>
        <shadow val="0"/>
        <u val="none"/>
        <vertAlign val="baseline"/>
        <sz val="11"/>
        <color theme="1"/>
        <name val="Tenorite"/>
        <scheme val="none"/>
      </font>
    </dxf>
    <dxf>
      <font>
        <b val="0"/>
        <i val="0"/>
        <strike val="0"/>
        <condense val="0"/>
        <extend val="0"/>
        <outline val="0"/>
        <shadow val="0"/>
        <u val="none"/>
        <vertAlign val="baseline"/>
        <sz val="12"/>
        <color theme="1"/>
        <name val="Tenorite"/>
        <scheme val="none"/>
      </font>
      <alignment vertical="center" textRotation="0" wrapText="0" indent="0" justifyLastLine="0" shrinkToFit="0" readingOrder="0"/>
      <protection locked="1" hidden="0"/>
    </dxf>
    <dxf>
      <font>
        <b val="0"/>
        <i val="0"/>
        <strike val="0"/>
        <condense val="0"/>
        <extend val="0"/>
        <outline val="0"/>
        <shadow val="0"/>
        <u val="none"/>
        <vertAlign val="baseline"/>
        <sz val="12"/>
        <color theme="1"/>
        <name val="Tenorite"/>
        <scheme val="none"/>
      </font>
      <alignment vertical="center" textRotation="0" wrapText="0" indent="0" justifyLastLine="0" shrinkToFit="0" readingOrder="0"/>
      <protection locked="1" hidden="0"/>
    </dxf>
    <dxf>
      <font>
        <u val="none"/>
      </font>
      <border>
        <bottom style="thin">
          <color auto="1"/>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alcChain" Target="calcChain.xml"/><Relationship Id="rId18" Type="http://schemas.openxmlformats.org/officeDocument/2006/relationships/customXml" Target="../customXml/item5.xml"/><Relationship Id="rId26" Type="http://schemas.openxmlformats.org/officeDocument/2006/relationships/customXml" Target="../customXml/item13.xml"/><Relationship Id="rId3" Type="http://schemas.openxmlformats.org/officeDocument/2006/relationships/worksheet" Target="worksheets/sheet3.xml"/><Relationship Id="rId21" Type="http://schemas.openxmlformats.org/officeDocument/2006/relationships/customXml" Target="../customXml/item8.xml"/><Relationship Id="rId7" Type="http://schemas.openxmlformats.org/officeDocument/2006/relationships/theme" Target="theme/theme1.xml"/><Relationship Id="rId12" Type="http://schemas.openxmlformats.org/officeDocument/2006/relationships/powerPivotData" Target="model/item.data"/><Relationship Id="rId17" Type="http://schemas.openxmlformats.org/officeDocument/2006/relationships/customXml" Target="../customXml/item4.xml"/><Relationship Id="rId25" Type="http://schemas.openxmlformats.org/officeDocument/2006/relationships/customXml" Target="../customXml/item12.xml"/><Relationship Id="rId2" Type="http://schemas.openxmlformats.org/officeDocument/2006/relationships/worksheet" Target="worksheets/sheet2.xml"/><Relationship Id="rId16" Type="http://schemas.openxmlformats.org/officeDocument/2006/relationships/customXml" Target="../customXml/item3.xml"/><Relationship Id="rId20" Type="http://schemas.openxmlformats.org/officeDocument/2006/relationships/customXml" Target="../customXml/item7.xml"/><Relationship Id="rId29" Type="http://schemas.openxmlformats.org/officeDocument/2006/relationships/customXml" Target="../customXml/item16.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eetMetadata" Target="metadata.xml"/><Relationship Id="rId24" Type="http://schemas.openxmlformats.org/officeDocument/2006/relationships/customXml" Target="../customXml/item1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customXml" Target="../customXml/item2.xml"/><Relationship Id="rId23" Type="http://schemas.openxmlformats.org/officeDocument/2006/relationships/customXml" Target="../customXml/item10.xml"/><Relationship Id="rId28" Type="http://schemas.openxmlformats.org/officeDocument/2006/relationships/customXml" Target="../customXml/item15.xml"/><Relationship Id="rId10" Type="http://schemas.openxmlformats.org/officeDocument/2006/relationships/sharedStrings" Target="sharedStrings.xml"/><Relationship Id="rId19" Type="http://schemas.openxmlformats.org/officeDocument/2006/relationships/customXml" Target="../customXml/item6.xml"/><Relationship Id="rId31" Type="http://schemas.openxmlformats.org/officeDocument/2006/relationships/customXml" Target="../customXml/item18.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1.xml"/><Relationship Id="rId22" Type="http://schemas.openxmlformats.org/officeDocument/2006/relationships/customXml" Target="../customXml/item9.xml"/><Relationship Id="rId27" Type="http://schemas.openxmlformats.org/officeDocument/2006/relationships/customXml" Target="../customXml/item14.xml"/><Relationship Id="rId30" Type="http://schemas.openxmlformats.org/officeDocument/2006/relationships/customXml" Target="../customXml/item17.xml"/></Relationships>
</file>

<file path=xl/drawings/drawing1.xml><?xml version="1.0" encoding="utf-8"?>
<xdr:wsDr xmlns:xdr="http://schemas.openxmlformats.org/drawingml/2006/spreadsheetDrawing" xmlns:a="http://schemas.openxmlformats.org/drawingml/2006/main">
  <xdr:twoCellAnchor>
    <xdr:from>
      <xdr:col>2</xdr:col>
      <xdr:colOff>95641</xdr:colOff>
      <xdr:row>1</xdr:row>
      <xdr:rowOff>23423</xdr:rowOff>
    </xdr:from>
    <xdr:to>
      <xdr:col>4</xdr:col>
      <xdr:colOff>150291</xdr:colOff>
      <xdr:row>4</xdr:row>
      <xdr:rowOff>15615</xdr:rowOff>
    </xdr:to>
    <xdr:sp macro="[0]!GoToSupplierSheet" textlink="">
      <xdr:nvSpPr>
        <xdr:cNvPr id="6" name="Shape for Logo">
          <a:extLst>
            <a:ext uri="{FF2B5EF4-FFF2-40B4-BE49-F238E27FC236}">
              <a16:creationId xmlns:a16="http://schemas.microsoft.com/office/drawing/2014/main" id="{B062C03D-D06E-9C74-3C63-83F0ADA11F75}"/>
            </a:ext>
          </a:extLst>
        </xdr:cNvPr>
        <xdr:cNvSpPr/>
      </xdr:nvSpPr>
      <xdr:spPr>
        <a:xfrm>
          <a:off x="1313592" y="210800"/>
          <a:ext cx="1272601" cy="554323"/>
        </a:xfrm>
        <a:prstGeom prst="rect">
          <a:avLst/>
        </a:prstGeom>
        <a:gradFill flip="none"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path path="circle">
            <a:fillToRect l="50000" t="50000" r="50000" b="50000"/>
          </a:path>
          <a:tileRect/>
        </a:gradFill>
        <a:scene3d>
          <a:camera prst="orthographicFront"/>
          <a:lightRig rig="balanced" dir="t"/>
        </a:scene3d>
        <a:sp3d prstMaterial="dkEdge">
          <a:bevelT w="120650" h="133350"/>
          <a:bevelB w="127000" h="127000"/>
          <a:extrusionClr>
            <a:schemeClr val="accent5">
              <a:lumMod val="50000"/>
            </a:schemeClr>
          </a:extrusionClr>
        </a:sp3d>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IN" sz="1200" b="1">
              <a:latin typeface="Aptos Narrow" panose="020B0004020202020204" pitchFamily="34" charset="0"/>
            </a:rPr>
            <a:t>Go to</a:t>
          </a:r>
          <a:r>
            <a:rPr lang="en-IN" sz="1200" b="1" baseline="0">
              <a:latin typeface="Aptos Narrow" panose="020B0004020202020204" pitchFamily="34" charset="0"/>
            </a:rPr>
            <a:t> Supplier Details</a:t>
          </a:r>
          <a:endParaRPr lang="en-IN" sz="1200" b="1">
            <a:latin typeface="Aptos Narrow" panose="020B0004020202020204" pitchFamily="34" charset="0"/>
          </a:endParaRPr>
        </a:p>
      </xdr:txBody>
    </xdr:sp>
    <xdr:clientData/>
  </xdr:twoCellAnchor>
  <xdr:twoCellAnchor>
    <xdr:from>
      <xdr:col>5</xdr:col>
      <xdr:colOff>573843</xdr:colOff>
      <xdr:row>1</xdr:row>
      <xdr:rowOff>23423</xdr:rowOff>
    </xdr:from>
    <xdr:to>
      <xdr:col>5</xdr:col>
      <xdr:colOff>1846444</xdr:colOff>
      <xdr:row>4</xdr:row>
      <xdr:rowOff>15615</xdr:rowOff>
    </xdr:to>
    <xdr:sp macro="[0]!GoToReceiverSheet" textlink="">
      <xdr:nvSpPr>
        <xdr:cNvPr id="7" name="Shape for Logo">
          <a:extLst>
            <a:ext uri="{FF2B5EF4-FFF2-40B4-BE49-F238E27FC236}">
              <a16:creationId xmlns:a16="http://schemas.microsoft.com/office/drawing/2014/main" id="{FD7E8717-8B5C-29F9-C381-A7ABA355B419}"/>
            </a:ext>
          </a:extLst>
        </xdr:cNvPr>
        <xdr:cNvSpPr/>
      </xdr:nvSpPr>
      <xdr:spPr>
        <a:xfrm>
          <a:off x="3407921" y="210800"/>
          <a:ext cx="1272601" cy="554323"/>
        </a:xfrm>
        <a:prstGeom prst="rect">
          <a:avLst/>
        </a:prstGeom>
        <a:gradFill flip="none"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path path="circle">
            <a:fillToRect l="50000" t="50000" r="50000" b="50000"/>
          </a:path>
          <a:tileRect/>
        </a:gradFill>
        <a:scene3d>
          <a:camera prst="orthographicFront"/>
          <a:lightRig rig="balanced" dir="t"/>
        </a:scene3d>
        <a:sp3d prstMaterial="dkEdge">
          <a:bevelT w="120650" h="133350"/>
          <a:bevelB w="127000" h="127000"/>
          <a:extrusionClr>
            <a:schemeClr val="accent5">
              <a:lumMod val="50000"/>
            </a:schemeClr>
          </a:extrusionClr>
        </a:sp3d>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IN" sz="1200" b="1">
              <a:latin typeface="Aptos Narrow" panose="020B0004020202020204" pitchFamily="34" charset="0"/>
            </a:rPr>
            <a:t>Go to</a:t>
          </a:r>
          <a:r>
            <a:rPr lang="en-IN" sz="1200" b="1" baseline="0">
              <a:latin typeface="Aptos Narrow" panose="020B0004020202020204" pitchFamily="34" charset="0"/>
            </a:rPr>
            <a:t> Receiver Details</a:t>
          </a:r>
          <a:endParaRPr lang="en-IN" sz="1200" b="1">
            <a:latin typeface="Aptos Narrow" panose="020B0004020202020204" pitchFamily="34" charset="0"/>
          </a:endParaRPr>
        </a:p>
      </xdr:txBody>
    </xdr:sp>
    <xdr:clientData/>
  </xdr:twoCellAnchor>
  <xdr:twoCellAnchor>
    <xdr:from>
      <xdr:col>5</xdr:col>
      <xdr:colOff>2668172</xdr:colOff>
      <xdr:row>1</xdr:row>
      <xdr:rowOff>23423</xdr:rowOff>
    </xdr:from>
    <xdr:to>
      <xdr:col>5</xdr:col>
      <xdr:colOff>3940773</xdr:colOff>
      <xdr:row>4</xdr:row>
      <xdr:rowOff>15615</xdr:rowOff>
    </xdr:to>
    <xdr:sp macro="[0]!GoToInvListSheet" textlink="">
      <xdr:nvSpPr>
        <xdr:cNvPr id="8" name="Shape for Logo">
          <a:extLst>
            <a:ext uri="{FF2B5EF4-FFF2-40B4-BE49-F238E27FC236}">
              <a16:creationId xmlns:a16="http://schemas.microsoft.com/office/drawing/2014/main" id="{4E57A19C-13CA-65D0-6703-A2078931CEEF}"/>
            </a:ext>
          </a:extLst>
        </xdr:cNvPr>
        <xdr:cNvSpPr/>
      </xdr:nvSpPr>
      <xdr:spPr>
        <a:xfrm>
          <a:off x="5502250" y="210800"/>
          <a:ext cx="1272601" cy="554323"/>
        </a:xfrm>
        <a:prstGeom prst="rect">
          <a:avLst/>
        </a:prstGeom>
        <a:gradFill flip="none"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path path="circle">
            <a:fillToRect l="50000" t="50000" r="50000" b="50000"/>
          </a:path>
          <a:tileRect/>
        </a:gradFill>
        <a:scene3d>
          <a:camera prst="orthographicFront"/>
          <a:lightRig rig="balanced" dir="t"/>
        </a:scene3d>
        <a:sp3d prstMaterial="dkEdge">
          <a:bevelT w="120650" h="133350"/>
          <a:bevelB w="127000" h="127000"/>
          <a:extrusionClr>
            <a:schemeClr val="accent5">
              <a:lumMod val="50000"/>
            </a:schemeClr>
          </a:extrusionClr>
        </a:sp3d>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IN" sz="1200" b="1">
              <a:latin typeface="Aptos Narrow" panose="020B0004020202020204" pitchFamily="34" charset="0"/>
            </a:rPr>
            <a:t>Go to</a:t>
          </a:r>
          <a:r>
            <a:rPr lang="en-IN" sz="1200" b="1" baseline="0">
              <a:latin typeface="Aptos Narrow" panose="020B0004020202020204" pitchFamily="34" charset="0"/>
            </a:rPr>
            <a:t> </a:t>
          </a:r>
          <a:r>
            <a:rPr lang="en-IN" sz="1200" b="1" baseline="0">
              <a:solidFill>
                <a:schemeClr val="lt1"/>
              </a:solidFill>
              <a:effectLst/>
              <a:latin typeface="Aptos Narrow" panose="020B0004020202020204" pitchFamily="34" charset="0"/>
              <a:ea typeface="+mn-ea"/>
              <a:cs typeface="+mn-cs"/>
            </a:rPr>
            <a:t>List of </a:t>
          </a:r>
          <a:r>
            <a:rPr lang="en-IN" sz="1200" b="1" baseline="0">
              <a:latin typeface="Aptos Narrow" panose="020B0004020202020204" pitchFamily="34" charset="0"/>
            </a:rPr>
            <a:t>Invoices</a:t>
          </a:r>
          <a:endParaRPr lang="en-IN" sz="1200" b="1">
            <a:latin typeface="Aptos Narrow" panose="020B0004020202020204" pitchFamily="34" charset="0"/>
          </a:endParaRPr>
        </a:p>
      </xdr:txBody>
    </xdr:sp>
    <xdr:clientData/>
  </xdr:twoCellAnchor>
  <xdr:twoCellAnchor>
    <xdr:from>
      <xdr:col>5</xdr:col>
      <xdr:colOff>4762501</xdr:colOff>
      <xdr:row>1</xdr:row>
      <xdr:rowOff>23423</xdr:rowOff>
    </xdr:from>
    <xdr:to>
      <xdr:col>6</xdr:col>
      <xdr:colOff>70266</xdr:colOff>
      <xdr:row>4</xdr:row>
      <xdr:rowOff>15615</xdr:rowOff>
    </xdr:to>
    <xdr:sp macro="[0]!GoToInvoice" textlink="">
      <xdr:nvSpPr>
        <xdr:cNvPr id="9" name="Shape for Logo">
          <a:extLst>
            <a:ext uri="{FF2B5EF4-FFF2-40B4-BE49-F238E27FC236}">
              <a16:creationId xmlns:a16="http://schemas.microsoft.com/office/drawing/2014/main" id="{88B7DAE8-88AF-1691-7C59-8C5B65679864}"/>
            </a:ext>
          </a:extLst>
        </xdr:cNvPr>
        <xdr:cNvSpPr/>
      </xdr:nvSpPr>
      <xdr:spPr>
        <a:xfrm>
          <a:off x="7596579" y="210800"/>
          <a:ext cx="1272601" cy="554323"/>
        </a:xfrm>
        <a:prstGeom prst="rect">
          <a:avLst/>
        </a:prstGeom>
        <a:gradFill flip="none"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path path="circle">
            <a:fillToRect l="50000" t="50000" r="50000" b="50000"/>
          </a:path>
          <a:tileRect/>
        </a:gradFill>
        <a:scene3d>
          <a:camera prst="orthographicFront"/>
          <a:lightRig rig="balanced" dir="t"/>
        </a:scene3d>
        <a:sp3d prstMaterial="dkEdge">
          <a:bevelT w="120650" h="133350"/>
          <a:bevelB w="127000" h="127000"/>
          <a:extrusionClr>
            <a:schemeClr val="accent5">
              <a:lumMod val="50000"/>
            </a:schemeClr>
          </a:extrusionClr>
        </a:sp3d>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IN" sz="1200" b="1">
              <a:latin typeface="Aptos Narrow" panose="020B0004020202020204" pitchFamily="34" charset="0"/>
            </a:rPr>
            <a:t>Go to</a:t>
          </a:r>
          <a:r>
            <a:rPr lang="en-IN" sz="1200" b="1" baseline="0">
              <a:latin typeface="Aptos Narrow" panose="020B0004020202020204" pitchFamily="34" charset="0"/>
            </a:rPr>
            <a:t> Invoice</a:t>
          </a:r>
          <a:endParaRPr lang="en-IN" sz="1200" b="1">
            <a:latin typeface="Aptos Narrow" panose="020B00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22664</xdr:colOff>
      <xdr:row>20</xdr:row>
      <xdr:rowOff>11823</xdr:rowOff>
    </xdr:from>
    <xdr:to>
      <xdr:col>7</xdr:col>
      <xdr:colOff>722586</xdr:colOff>
      <xdr:row>24</xdr:row>
      <xdr:rowOff>190500</xdr:rowOff>
    </xdr:to>
    <xdr:sp macro="[0]!InsertImage" textlink="">
      <xdr:nvSpPr>
        <xdr:cNvPr id="2" name="Shape for Logo">
          <a:extLst>
            <a:ext uri="{FF2B5EF4-FFF2-40B4-BE49-F238E27FC236}">
              <a16:creationId xmlns:a16="http://schemas.microsoft.com/office/drawing/2014/main" id="{340A7AED-9750-9366-678E-F8A382B19C5B}"/>
            </a:ext>
          </a:extLst>
        </xdr:cNvPr>
        <xdr:cNvSpPr/>
      </xdr:nvSpPr>
      <xdr:spPr>
        <a:xfrm>
          <a:off x="6860957" y="3480237"/>
          <a:ext cx="2053129" cy="1006366"/>
        </a:xfrm>
        <a:prstGeom prst="rect">
          <a:avLst/>
        </a:prstGeom>
        <a:gradFill flip="none"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path path="circle">
            <a:fillToRect l="50000" t="50000" r="50000" b="50000"/>
          </a:path>
          <a:tileRect/>
        </a:gradFill>
        <a:scene3d>
          <a:camera prst="orthographicFront"/>
          <a:lightRig rig="balanced" dir="t"/>
        </a:scene3d>
        <a:sp3d prstMaterial="dkEdge">
          <a:bevelT w="120650" h="133350"/>
          <a:bevelB w="127000" h="127000"/>
          <a:extrusionClr>
            <a:schemeClr val="accent5">
              <a:lumMod val="50000"/>
            </a:schemeClr>
          </a:extrusionClr>
        </a:sp3d>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IN" sz="1400" b="1">
              <a:latin typeface="Aptos Narrow" panose="020B0004020202020204" pitchFamily="34" charset="0"/>
            </a:rPr>
            <a:t>Click here to add Logo</a:t>
          </a:r>
        </a:p>
      </xdr:txBody>
    </xdr:sp>
    <xdr:clientData/>
  </xdr:twoCellAnchor>
  <xdr:twoCellAnchor>
    <xdr:from>
      <xdr:col>4</xdr:col>
      <xdr:colOff>1207810</xdr:colOff>
      <xdr:row>0</xdr:row>
      <xdr:rowOff>160940</xdr:rowOff>
    </xdr:from>
    <xdr:to>
      <xdr:col>4</xdr:col>
      <xdr:colOff>2480411</xdr:colOff>
      <xdr:row>3</xdr:row>
      <xdr:rowOff>124056</xdr:rowOff>
    </xdr:to>
    <xdr:sp macro="[0]!GoToReceiverSheet" textlink="">
      <xdr:nvSpPr>
        <xdr:cNvPr id="4" name="Shape for Logo">
          <a:extLst>
            <a:ext uri="{FF2B5EF4-FFF2-40B4-BE49-F238E27FC236}">
              <a16:creationId xmlns:a16="http://schemas.microsoft.com/office/drawing/2014/main" id="{FCBCC9AC-A05F-4DCF-920A-3762238D4980}"/>
            </a:ext>
          </a:extLst>
        </xdr:cNvPr>
        <xdr:cNvSpPr/>
      </xdr:nvSpPr>
      <xdr:spPr>
        <a:xfrm>
          <a:off x="4354344" y="160940"/>
          <a:ext cx="1272601" cy="554323"/>
        </a:xfrm>
        <a:prstGeom prst="rect">
          <a:avLst/>
        </a:prstGeom>
        <a:gradFill flip="none"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path path="circle">
            <a:fillToRect l="50000" t="50000" r="50000" b="50000"/>
          </a:path>
          <a:tileRect/>
        </a:gradFill>
        <a:scene3d>
          <a:camera prst="orthographicFront"/>
          <a:lightRig rig="balanced" dir="t"/>
        </a:scene3d>
        <a:sp3d prstMaterial="dkEdge">
          <a:bevelT w="120650" h="133350"/>
          <a:bevelB w="127000" h="127000"/>
          <a:extrusionClr>
            <a:schemeClr val="accent5">
              <a:lumMod val="50000"/>
            </a:schemeClr>
          </a:extrusionClr>
        </a:sp3d>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IN" sz="1200" b="1">
              <a:latin typeface="Aptos Narrow" panose="020B0004020202020204" pitchFamily="34" charset="0"/>
            </a:rPr>
            <a:t>Go to</a:t>
          </a:r>
          <a:r>
            <a:rPr lang="en-IN" sz="1200" b="1" baseline="0">
              <a:latin typeface="Aptos Narrow" panose="020B0004020202020204" pitchFamily="34" charset="0"/>
            </a:rPr>
            <a:t> Receiver Details</a:t>
          </a:r>
          <a:endParaRPr lang="en-IN" sz="1200" b="1">
            <a:latin typeface="Aptos Narrow" panose="020B0004020202020204" pitchFamily="34" charset="0"/>
          </a:endParaRPr>
        </a:p>
      </xdr:txBody>
    </xdr:sp>
    <xdr:clientData/>
  </xdr:twoCellAnchor>
  <xdr:twoCellAnchor>
    <xdr:from>
      <xdr:col>6</xdr:col>
      <xdr:colOff>20582</xdr:colOff>
      <xdr:row>0</xdr:row>
      <xdr:rowOff>160940</xdr:rowOff>
    </xdr:from>
    <xdr:to>
      <xdr:col>6</xdr:col>
      <xdr:colOff>1293183</xdr:colOff>
      <xdr:row>3</xdr:row>
      <xdr:rowOff>124056</xdr:rowOff>
    </xdr:to>
    <xdr:sp macro="[0]!GoToInvListSheet" textlink="">
      <xdr:nvSpPr>
        <xdr:cNvPr id="5" name="Shape for Logo">
          <a:extLst>
            <a:ext uri="{FF2B5EF4-FFF2-40B4-BE49-F238E27FC236}">
              <a16:creationId xmlns:a16="http://schemas.microsoft.com/office/drawing/2014/main" id="{0936787C-48F4-46F0-B8BC-B04F831E0C36}"/>
            </a:ext>
          </a:extLst>
        </xdr:cNvPr>
        <xdr:cNvSpPr/>
      </xdr:nvSpPr>
      <xdr:spPr>
        <a:xfrm>
          <a:off x="6858875" y="160940"/>
          <a:ext cx="1272601" cy="554323"/>
        </a:xfrm>
        <a:prstGeom prst="rect">
          <a:avLst/>
        </a:prstGeom>
        <a:gradFill flip="none"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path path="circle">
            <a:fillToRect l="50000" t="50000" r="50000" b="50000"/>
          </a:path>
          <a:tileRect/>
        </a:gradFill>
        <a:scene3d>
          <a:camera prst="orthographicFront"/>
          <a:lightRig rig="balanced" dir="t"/>
        </a:scene3d>
        <a:sp3d prstMaterial="dkEdge">
          <a:bevelT w="120650" h="133350"/>
          <a:bevelB w="127000" h="127000"/>
          <a:extrusionClr>
            <a:schemeClr val="accent5">
              <a:lumMod val="50000"/>
            </a:schemeClr>
          </a:extrusionClr>
        </a:sp3d>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IN" sz="1200" b="1">
              <a:latin typeface="Aptos Narrow" panose="020B0004020202020204" pitchFamily="34" charset="0"/>
            </a:rPr>
            <a:t>Go to</a:t>
          </a:r>
          <a:r>
            <a:rPr lang="en-IN" sz="1200" b="1" baseline="0">
              <a:latin typeface="Aptos Narrow" panose="020B0004020202020204" pitchFamily="34" charset="0"/>
            </a:rPr>
            <a:t> </a:t>
          </a:r>
          <a:r>
            <a:rPr lang="en-IN" sz="1200" b="1" baseline="0">
              <a:solidFill>
                <a:schemeClr val="lt1"/>
              </a:solidFill>
              <a:effectLst/>
              <a:latin typeface="Aptos Narrow" panose="020B0004020202020204" pitchFamily="34" charset="0"/>
              <a:ea typeface="+mn-ea"/>
              <a:cs typeface="+mn-cs"/>
            </a:rPr>
            <a:t>List of </a:t>
          </a:r>
          <a:r>
            <a:rPr lang="en-IN" sz="1200" b="1" baseline="0">
              <a:latin typeface="Aptos Narrow" panose="020B0004020202020204" pitchFamily="34" charset="0"/>
            </a:rPr>
            <a:t>Invoices</a:t>
          </a:r>
          <a:endParaRPr lang="en-IN" sz="1200" b="1">
            <a:latin typeface="Aptos Narrow" panose="020B0004020202020204" pitchFamily="34" charset="0"/>
          </a:endParaRPr>
        </a:p>
      </xdr:txBody>
    </xdr:sp>
    <xdr:clientData/>
  </xdr:twoCellAnchor>
  <xdr:twoCellAnchor>
    <xdr:from>
      <xdr:col>7</xdr:col>
      <xdr:colOff>1171907</xdr:colOff>
      <xdr:row>0</xdr:row>
      <xdr:rowOff>160940</xdr:rowOff>
    </xdr:from>
    <xdr:to>
      <xdr:col>7</xdr:col>
      <xdr:colOff>2444508</xdr:colOff>
      <xdr:row>3</xdr:row>
      <xdr:rowOff>124056</xdr:rowOff>
    </xdr:to>
    <xdr:sp macro="[0]!GoToInvoice" textlink="">
      <xdr:nvSpPr>
        <xdr:cNvPr id="6" name="Shape for Logo">
          <a:extLst>
            <a:ext uri="{FF2B5EF4-FFF2-40B4-BE49-F238E27FC236}">
              <a16:creationId xmlns:a16="http://schemas.microsoft.com/office/drawing/2014/main" id="{D7C33E83-A384-4C88-95B4-E7867ED8F53A}"/>
            </a:ext>
          </a:extLst>
        </xdr:cNvPr>
        <xdr:cNvSpPr/>
      </xdr:nvSpPr>
      <xdr:spPr>
        <a:xfrm>
          <a:off x="9363407" y="160940"/>
          <a:ext cx="1272601" cy="554323"/>
        </a:xfrm>
        <a:prstGeom prst="rect">
          <a:avLst/>
        </a:prstGeom>
        <a:gradFill flip="none"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path path="circle">
            <a:fillToRect l="50000" t="50000" r="50000" b="50000"/>
          </a:path>
          <a:tileRect/>
        </a:gradFill>
        <a:scene3d>
          <a:camera prst="orthographicFront"/>
          <a:lightRig rig="balanced" dir="t"/>
        </a:scene3d>
        <a:sp3d prstMaterial="dkEdge">
          <a:bevelT w="120650" h="133350"/>
          <a:bevelB w="127000" h="127000"/>
          <a:extrusionClr>
            <a:schemeClr val="accent5">
              <a:lumMod val="50000"/>
            </a:schemeClr>
          </a:extrusionClr>
        </a:sp3d>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IN" sz="1200" b="1">
              <a:latin typeface="Aptos Narrow" panose="020B0004020202020204" pitchFamily="34" charset="0"/>
            </a:rPr>
            <a:t>Go to</a:t>
          </a:r>
          <a:r>
            <a:rPr lang="en-IN" sz="1200" b="1" baseline="0">
              <a:latin typeface="Aptos Narrow" panose="020B0004020202020204" pitchFamily="34" charset="0"/>
            </a:rPr>
            <a:t> Invoice</a:t>
          </a:r>
          <a:endParaRPr lang="en-IN" sz="1200" b="1">
            <a:latin typeface="Aptos Narrow" panose="020B0004020202020204" pitchFamily="34" charset="0"/>
          </a:endParaRPr>
        </a:p>
      </xdr:txBody>
    </xdr:sp>
    <xdr:clientData/>
  </xdr:twoCellAnchor>
  <xdr:twoCellAnchor>
    <xdr:from>
      <xdr:col>3</xdr:col>
      <xdr:colOff>17072</xdr:colOff>
      <xdr:row>0</xdr:row>
      <xdr:rowOff>160940</xdr:rowOff>
    </xdr:from>
    <xdr:to>
      <xdr:col>3</xdr:col>
      <xdr:colOff>1289673</xdr:colOff>
      <xdr:row>3</xdr:row>
      <xdr:rowOff>124056</xdr:rowOff>
    </xdr:to>
    <xdr:sp macro="[0]!GoToIntoAndInsts" textlink="">
      <xdr:nvSpPr>
        <xdr:cNvPr id="8" name="Shape for Logo">
          <a:extLst>
            <a:ext uri="{FF2B5EF4-FFF2-40B4-BE49-F238E27FC236}">
              <a16:creationId xmlns:a16="http://schemas.microsoft.com/office/drawing/2014/main" id="{FE99D82D-C4E3-470C-A4F4-2995E5D20BAB}"/>
            </a:ext>
          </a:extLst>
        </xdr:cNvPr>
        <xdr:cNvSpPr/>
      </xdr:nvSpPr>
      <xdr:spPr>
        <a:xfrm>
          <a:off x="1849813" y="160940"/>
          <a:ext cx="1272601" cy="554323"/>
        </a:xfrm>
        <a:prstGeom prst="rect">
          <a:avLst/>
        </a:prstGeom>
        <a:gradFill flip="none"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path path="circle">
            <a:fillToRect l="50000" t="50000" r="50000" b="50000"/>
          </a:path>
          <a:tileRect/>
        </a:gradFill>
        <a:scene3d>
          <a:camera prst="orthographicFront"/>
          <a:lightRig rig="balanced" dir="t"/>
        </a:scene3d>
        <a:sp3d prstMaterial="dkEdge">
          <a:bevelT w="120650" h="133350"/>
          <a:bevelB w="127000" h="127000"/>
          <a:extrusionClr>
            <a:schemeClr val="accent5">
              <a:lumMod val="50000"/>
            </a:schemeClr>
          </a:extrusionClr>
        </a:sp3d>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IN" sz="1200" b="1">
              <a:latin typeface="Aptos Narrow" panose="020B0004020202020204" pitchFamily="34" charset="0"/>
            </a:rPr>
            <a:t>Go to</a:t>
          </a:r>
          <a:r>
            <a:rPr lang="en-IN" sz="1200" b="1" baseline="0">
              <a:latin typeface="Aptos Narrow" panose="020B0004020202020204" pitchFamily="34" charset="0"/>
            </a:rPr>
            <a:t> Intro &amp; Instructions</a:t>
          </a:r>
          <a:endParaRPr lang="en-IN" sz="1200" b="1">
            <a:latin typeface="Aptos Narrow" panose="020B00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479637</xdr:colOff>
      <xdr:row>0</xdr:row>
      <xdr:rowOff>85662</xdr:rowOff>
    </xdr:from>
    <xdr:to>
      <xdr:col>2</xdr:col>
      <xdr:colOff>1752238</xdr:colOff>
      <xdr:row>3</xdr:row>
      <xdr:rowOff>64649</xdr:rowOff>
    </xdr:to>
    <xdr:sp macro="[0]!GoToSupplierSheet" textlink="">
      <xdr:nvSpPr>
        <xdr:cNvPr id="3" name="Shape for Logo">
          <a:extLst>
            <a:ext uri="{FF2B5EF4-FFF2-40B4-BE49-F238E27FC236}">
              <a16:creationId xmlns:a16="http://schemas.microsoft.com/office/drawing/2014/main" id="{CD323254-A20F-4727-A1CD-3A7F09EA435D}"/>
            </a:ext>
          </a:extLst>
        </xdr:cNvPr>
        <xdr:cNvSpPr/>
      </xdr:nvSpPr>
      <xdr:spPr>
        <a:xfrm>
          <a:off x="3656768" y="85662"/>
          <a:ext cx="1272601" cy="554323"/>
        </a:xfrm>
        <a:prstGeom prst="rect">
          <a:avLst/>
        </a:prstGeom>
        <a:gradFill flip="none"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path path="circle">
            <a:fillToRect l="50000" t="50000" r="50000" b="50000"/>
          </a:path>
          <a:tileRect/>
        </a:gradFill>
        <a:scene3d>
          <a:camera prst="orthographicFront"/>
          <a:lightRig rig="balanced" dir="t"/>
        </a:scene3d>
        <a:sp3d prstMaterial="dkEdge">
          <a:bevelT w="120650" h="133350"/>
          <a:bevelB w="127000" h="127000"/>
          <a:extrusionClr>
            <a:schemeClr val="accent5">
              <a:lumMod val="50000"/>
            </a:schemeClr>
          </a:extrusionClr>
        </a:sp3d>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IN" sz="1200" b="1">
              <a:latin typeface="Aptos Narrow" panose="020B0004020202020204" pitchFamily="34" charset="0"/>
            </a:rPr>
            <a:t>Go to</a:t>
          </a:r>
          <a:r>
            <a:rPr lang="en-IN" sz="1200" b="1" baseline="0">
              <a:latin typeface="Aptos Narrow" panose="020B0004020202020204" pitchFamily="34" charset="0"/>
            </a:rPr>
            <a:t> Supplier Details</a:t>
          </a:r>
          <a:endParaRPr lang="en-IN" sz="1200" b="1">
            <a:latin typeface="Aptos Narrow" panose="020B0004020202020204" pitchFamily="34" charset="0"/>
          </a:endParaRPr>
        </a:p>
      </xdr:txBody>
    </xdr:sp>
    <xdr:clientData/>
  </xdr:twoCellAnchor>
  <xdr:twoCellAnchor>
    <xdr:from>
      <xdr:col>4</xdr:col>
      <xdr:colOff>493582</xdr:colOff>
      <xdr:row>0</xdr:row>
      <xdr:rowOff>85662</xdr:rowOff>
    </xdr:from>
    <xdr:to>
      <xdr:col>5</xdr:col>
      <xdr:colOff>289488</xdr:colOff>
      <xdr:row>3</xdr:row>
      <xdr:rowOff>64649</xdr:rowOff>
    </xdr:to>
    <xdr:sp macro="[0]!GoToInvListSheet" textlink="">
      <xdr:nvSpPr>
        <xdr:cNvPr id="4" name="Shape for Logo">
          <a:extLst>
            <a:ext uri="{FF2B5EF4-FFF2-40B4-BE49-F238E27FC236}">
              <a16:creationId xmlns:a16="http://schemas.microsoft.com/office/drawing/2014/main" id="{69A6C759-E550-45B1-BBBA-B0CF9BC7E9A8}"/>
            </a:ext>
          </a:extLst>
        </xdr:cNvPr>
        <xdr:cNvSpPr/>
      </xdr:nvSpPr>
      <xdr:spPr>
        <a:xfrm>
          <a:off x="6751954" y="85662"/>
          <a:ext cx="1272601" cy="554323"/>
        </a:xfrm>
        <a:prstGeom prst="rect">
          <a:avLst/>
        </a:prstGeom>
        <a:gradFill flip="none"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path path="circle">
            <a:fillToRect l="50000" t="50000" r="50000" b="50000"/>
          </a:path>
          <a:tileRect/>
        </a:gradFill>
        <a:scene3d>
          <a:camera prst="orthographicFront"/>
          <a:lightRig rig="balanced" dir="t"/>
        </a:scene3d>
        <a:sp3d prstMaterial="dkEdge">
          <a:bevelT w="120650" h="133350"/>
          <a:bevelB w="127000" h="127000"/>
          <a:extrusionClr>
            <a:schemeClr val="accent5">
              <a:lumMod val="50000"/>
            </a:schemeClr>
          </a:extrusionClr>
        </a:sp3d>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IN" sz="1200" b="1">
              <a:latin typeface="Aptos Narrow" panose="020B0004020202020204" pitchFamily="34" charset="0"/>
            </a:rPr>
            <a:t>Go to</a:t>
          </a:r>
          <a:r>
            <a:rPr lang="en-IN" sz="1200" b="1" baseline="0">
              <a:latin typeface="Aptos Narrow" panose="020B0004020202020204" pitchFamily="34" charset="0"/>
            </a:rPr>
            <a:t> </a:t>
          </a:r>
          <a:r>
            <a:rPr lang="en-IN" sz="1200" b="1" baseline="0">
              <a:solidFill>
                <a:schemeClr val="lt1"/>
              </a:solidFill>
              <a:effectLst/>
              <a:latin typeface="Aptos Narrow" panose="020B0004020202020204" pitchFamily="34" charset="0"/>
              <a:ea typeface="+mn-ea"/>
              <a:cs typeface="+mn-cs"/>
            </a:rPr>
            <a:t>List of </a:t>
          </a:r>
          <a:r>
            <a:rPr lang="en-IN" sz="1200" b="1" baseline="0">
              <a:latin typeface="Aptos Narrow" panose="020B0004020202020204" pitchFamily="34" charset="0"/>
            </a:rPr>
            <a:t>Invoices</a:t>
          </a:r>
          <a:endParaRPr lang="en-IN" sz="1200" b="1">
            <a:latin typeface="Aptos Narrow" panose="020B0004020202020204" pitchFamily="34" charset="0"/>
          </a:endParaRPr>
        </a:p>
      </xdr:txBody>
    </xdr:sp>
    <xdr:clientData/>
  </xdr:twoCellAnchor>
  <xdr:twoCellAnchor>
    <xdr:from>
      <xdr:col>6</xdr:col>
      <xdr:colOff>1217107</xdr:colOff>
      <xdr:row>0</xdr:row>
      <xdr:rowOff>85662</xdr:rowOff>
    </xdr:from>
    <xdr:to>
      <xdr:col>6</xdr:col>
      <xdr:colOff>2489708</xdr:colOff>
      <xdr:row>3</xdr:row>
      <xdr:rowOff>64649</xdr:rowOff>
    </xdr:to>
    <xdr:sp macro="[0]!GoToInvoice" textlink="">
      <xdr:nvSpPr>
        <xdr:cNvPr id="5" name="Shape for Logo">
          <a:extLst>
            <a:ext uri="{FF2B5EF4-FFF2-40B4-BE49-F238E27FC236}">
              <a16:creationId xmlns:a16="http://schemas.microsoft.com/office/drawing/2014/main" id="{9D168A50-F14D-48EF-B926-B72A929C69FF}"/>
            </a:ext>
          </a:extLst>
        </xdr:cNvPr>
        <xdr:cNvSpPr/>
      </xdr:nvSpPr>
      <xdr:spPr>
        <a:xfrm>
          <a:off x="9847141" y="85662"/>
          <a:ext cx="1272601" cy="554323"/>
        </a:xfrm>
        <a:prstGeom prst="rect">
          <a:avLst/>
        </a:prstGeom>
        <a:gradFill flip="none"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path path="circle">
            <a:fillToRect l="50000" t="50000" r="50000" b="50000"/>
          </a:path>
          <a:tileRect/>
        </a:gradFill>
        <a:scene3d>
          <a:camera prst="orthographicFront"/>
          <a:lightRig rig="balanced" dir="t"/>
        </a:scene3d>
        <a:sp3d prstMaterial="dkEdge">
          <a:bevelT w="120650" h="133350"/>
          <a:bevelB w="127000" h="127000"/>
          <a:extrusionClr>
            <a:schemeClr val="accent5">
              <a:lumMod val="50000"/>
            </a:schemeClr>
          </a:extrusionClr>
        </a:sp3d>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IN" sz="1200" b="1">
              <a:latin typeface="Aptos Narrow" panose="020B0004020202020204" pitchFamily="34" charset="0"/>
            </a:rPr>
            <a:t>Go to</a:t>
          </a:r>
          <a:r>
            <a:rPr lang="en-IN" sz="1200" b="1" baseline="0">
              <a:latin typeface="Aptos Narrow" panose="020B0004020202020204" pitchFamily="34" charset="0"/>
            </a:rPr>
            <a:t> Invoice</a:t>
          </a:r>
          <a:endParaRPr lang="en-IN" sz="1200" b="1">
            <a:latin typeface="Aptos Narrow" panose="020B0004020202020204" pitchFamily="34" charset="0"/>
          </a:endParaRPr>
        </a:p>
      </xdr:txBody>
    </xdr:sp>
    <xdr:clientData/>
  </xdr:twoCellAnchor>
  <xdr:twoCellAnchor>
    <xdr:from>
      <xdr:col>1</xdr:col>
      <xdr:colOff>69350</xdr:colOff>
      <xdr:row>0</xdr:row>
      <xdr:rowOff>85662</xdr:rowOff>
    </xdr:from>
    <xdr:to>
      <xdr:col>1</xdr:col>
      <xdr:colOff>1341951</xdr:colOff>
      <xdr:row>3</xdr:row>
      <xdr:rowOff>64649</xdr:rowOff>
    </xdr:to>
    <xdr:sp macro="[0]!GoToIntoAndInsts" textlink="">
      <xdr:nvSpPr>
        <xdr:cNvPr id="7" name="Shape for Logo">
          <a:extLst>
            <a:ext uri="{FF2B5EF4-FFF2-40B4-BE49-F238E27FC236}">
              <a16:creationId xmlns:a16="http://schemas.microsoft.com/office/drawing/2014/main" id="{E61CEEE0-0586-4D28-95B5-6B871CFD2EAF}"/>
            </a:ext>
          </a:extLst>
        </xdr:cNvPr>
        <xdr:cNvSpPr/>
      </xdr:nvSpPr>
      <xdr:spPr>
        <a:xfrm>
          <a:off x="561582" y="85662"/>
          <a:ext cx="1272601" cy="554323"/>
        </a:xfrm>
        <a:prstGeom prst="rect">
          <a:avLst/>
        </a:prstGeom>
        <a:gradFill flip="none"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path path="circle">
            <a:fillToRect l="50000" t="50000" r="50000" b="50000"/>
          </a:path>
          <a:tileRect/>
        </a:gradFill>
        <a:scene3d>
          <a:camera prst="orthographicFront"/>
          <a:lightRig rig="balanced" dir="t"/>
        </a:scene3d>
        <a:sp3d prstMaterial="dkEdge">
          <a:bevelT w="120650" h="133350"/>
          <a:bevelB w="127000" h="127000"/>
          <a:extrusionClr>
            <a:schemeClr val="accent5">
              <a:lumMod val="50000"/>
            </a:schemeClr>
          </a:extrusionClr>
        </a:sp3d>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IN" sz="1200" b="1">
              <a:latin typeface="Aptos Narrow" panose="020B0004020202020204" pitchFamily="34" charset="0"/>
            </a:rPr>
            <a:t>Go to</a:t>
          </a:r>
          <a:r>
            <a:rPr lang="en-IN" sz="1200" b="1" baseline="0">
              <a:latin typeface="Aptos Narrow" panose="020B0004020202020204" pitchFamily="34" charset="0"/>
            </a:rPr>
            <a:t> Intro &amp; Instructions</a:t>
          </a:r>
          <a:endParaRPr lang="en-IN" sz="1200" b="1">
            <a:latin typeface="Aptos Narrow" panose="020B00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18</xdr:col>
      <xdr:colOff>455084</xdr:colOff>
      <xdr:row>0</xdr:row>
      <xdr:rowOff>118181</xdr:rowOff>
    </xdr:from>
    <xdr:to>
      <xdr:col>21</xdr:col>
      <xdr:colOff>360186</xdr:colOff>
      <xdr:row>6</xdr:row>
      <xdr:rowOff>32456</xdr:rowOff>
    </xdr:to>
    <mc:AlternateContent xmlns:mc="http://schemas.openxmlformats.org/markup-compatibility/2006" xmlns:sle15="http://schemas.microsoft.com/office/drawing/2012/slicer">
      <mc:Choice Requires="sle15">
        <xdr:graphicFrame macro="">
          <xdr:nvGraphicFramePr>
            <xdr:cNvPr id="2" name="Name">
              <a:extLst>
                <a:ext uri="{FF2B5EF4-FFF2-40B4-BE49-F238E27FC236}">
                  <a16:creationId xmlns:a16="http://schemas.microsoft.com/office/drawing/2014/main" id="{B7F4548B-2A3D-F358-C1AA-469EDAB53745}"/>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mlns="">
        <xdr:sp macro="" textlink="">
          <xdr:nvSpPr>
            <xdr:cNvPr id="0" name=""/>
            <xdr:cNvSpPr>
              <a:spLocks noTextEdit="1"/>
            </xdr:cNvSpPr>
          </xdr:nvSpPr>
          <xdr:spPr>
            <a:xfrm>
              <a:off x="18538473" y="118181"/>
              <a:ext cx="1831269" cy="1057275"/>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3</xdr:col>
      <xdr:colOff>347995</xdr:colOff>
      <xdr:row>0</xdr:row>
      <xdr:rowOff>138287</xdr:rowOff>
    </xdr:from>
    <xdr:to>
      <xdr:col>4</xdr:col>
      <xdr:colOff>830374</xdr:colOff>
      <xdr:row>3</xdr:row>
      <xdr:rowOff>121110</xdr:rowOff>
    </xdr:to>
    <xdr:sp macro="[0]!GoToSupplierSheet" textlink="">
      <xdr:nvSpPr>
        <xdr:cNvPr id="4" name="Shape for Logo">
          <a:extLst>
            <a:ext uri="{FF2B5EF4-FFF2-40B4-BE49-F238E27FC236}">
              <a16:creationId xmlns:a16="http://schemas.microsoft.com/office/drawing/2014/main" id="{8853CA95-756C-4E09-80EC-19BAD7C6823C}"/>
            </a:ext>
          </a:extLst>
        </xdr:cNvPr>
        <xdr:cNvSpPr/>
      </xdr:nvSpPr>
      <xdr:spPr>
        <a:xfrm>
          <a:off x="4207384" y="138287"/>
          <a:ext cx="1272601" cy="554323"/>
        </a:xfrm>
        <a:prstGeom prst="rect">
          <a:avLst/>
        </a:prstGeom>
        <a:gradFill flip="none"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path path="circle">
            <a:fillToRect l="50000" t="50000" r="50000" b="50000"/>
          </a:path>
          <a:tileRect/>
        </a:gradFill>
        <a:scene3d>
          <a:camera prst="orthographicFront"/>
          <a:lightRig rig="balanced" dir="t"/>
        </a:scene3d>
        <a:sp3d prstMaterial="dkEdge">
          <a:bevelT w="120650" h="133350"/>
          <a:bevelB w="127000" h="127000"/>
          <a:extrusionClr>
            <a:schemeClr val="accent5">
              <a:lumMod val="50000"/>
            </a:schemeClr>
          </a:extrusionClr>
        </a:sp3d>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IN" sz="1200" b="1">
              <a:latin typeface="Aptos Narrow" panose="020B0004020202020204" pitchFamily="34" charset="0"/>
            </a:rPr>
            <a:t>Go to</a:t>
          </a:r>
          <a:r>
            <a:rPr lang="en-IN" sz="1200" b="1" baseline="0">
              <a:latin typeface="Aptos Narrow" panose="020B0004020202020204" pitchFamily="34" charset="0"/>
            </a:rPr>
            <a:t> Supplier Details</a:t>
          </a:r>
          <a:endParaRPr lang="en-IN" sz="1200" b="1">
            <a:latin typeface="Aptos Narrow" panose="020B0004020202020204" pitchFamily="34" charset="0"/>
          </a:endParaRPr>
        </a:p>
      </xdr:txBody>
    </xdr:sp>
    <xdr:clientData/>
  </xdr:twoCellAnchor>
  <xdr:twoCellAnchor>
    <xdr:from>
      <xdr:col>6</xdr:col>
      <xdr:colOff>678399</xdr:colOff>
      <xdr:row>0</xdr:row>
      <xdr:rowOff>138287</xdr:rowOff>
    </xdr:from>
    <xdr:to>
      <xdr:col>8</xdr:col>
      <xdr:colOff>546944</xdr:colOff>
      <xdr:row>3</xdr:row>
      <xdr:rowOff>121110</xdr:rowOff>
    </xdr:to>
    <xdr:sp macro="[0]!GoToReceiverSheet" textlink="">
      <xdr:nvSpPr>
        <xdr:cNvPr id="5" name="Shape for Logo">
          <a:extLst>
            <a:ext uri="{FF2B5EF4-FFF2-40B4-BE49-F238E27FC236}">
              <a16:creationId xmlns:a16="http://schemas.microsoft.com/office/drawing/2014/main" id="{396CFCF7-80CC-44D7-A926-F1113EFC5B89}"/>
            </a:ext>
          </a:extLst>
        </xdr:cNvPr>
        <xdr:cNvSpPr/>
      </xdr:nvSpPr>
      <xdr:spPr>
        <a:xfrm>
          <a:off x="7973843" y="138287"/>
          <a:ext cx="1272601" cy="554323"/>
        </a:xfrm>
        <a:prstGeom prst="rect">
          <a:avLst/>
        </a:prstGeom>
        <a:gradFill flip="none"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path path="circle">
            <a:fillToRect l="50000" t="50000" r="50000" b="50000"/>
          </a:path>
          <a:tileRect/>
        </a:gradFill>
        <a:scene3d>
          <a:camera prst="orthographicFront"/>
          <a:lightRig rig="balanced" dir="t"/>
        </a:scene3d>
        <a:sp3d prstMaterial="dkEdge">
          <a:bevelT w="120650" h="133350"/>
          <a:bevelB w="127000" h="127000"/>
          <a:extrusionClr>
            <a:schemeClr val="accent5">
              <a:lumMod val="50000"/>
            </a:schemeClr>
          </a:extrusionClr>
        </a:sp3d>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IN" sz="1200" b="1">
              <a:latin typeface="Aptos Narrow" panose="020B0004020202020204" pitchFamily="34" charset="0"/>
            </a:rPr>
            <a:t>Go to</a:t>
          </a:r>
          <a:r>
            <a:rPr lang="en-IN" sz="1200" b="1" baseline="0">
              <a:latin typeface="Aptos Narrow" panose="020B0004020202020204" pitchFamily="34" charset="0"/>
            </a:rPr>
            <a:t> </a:t>
          </a:r>
          <a:r>
            <a:rPr lang="en-IN" sz="1200" b="1" baseline="0">
              <a:solidFill>
                <a:schemeClr val="lt1"/>
              </a:solidFill>
              <a:effectLst/>
              <a:latin typeface="Aptos Narrow" panose="020B0004020202020204" pitchFamily="34" charset="0"/>
              <a:ea typeface="+mn-ea"/>
              <a:cs typeface="+mn-cs"/>
            </a:rPr>
            <a:t>Receiver Details</a:t>
          </a:r>
          <a:endParaRPr lang="en-IN" sz="1200" b="1">
            <a:latin typeface="Aptos Narrow" panose="020B0004020202020204" pitchFamily="34" charset="0"/>
          </a:endParaRPr>
        </a:p>
      </xdr:txBody>
    </xdr:sp>
    <xdr:clientData/>
  </xdr:twoCellAnchor>
  <xdr:twoCellAnchor>
    <xdr:from>
      <xdr:col>11</xdr:col>
      <xdr:colOff>246803</xdr:colOff>
      <xdr:row>0</xdr:row>
      <xdr:rowOff>138287</xdr:rowOff>
    </xdr:from>
    <xdr:to>
      <xdr:col>12</xdr:col>
      <xdr:colOff>566904</xdr:colOff>
      <xdr:row>3</xdr:row>
      <xdr:rowOff>121110</xdr:rowOff>
    </xdr:to>
    <xdr:sp macro="[0]!GoToInvoice" textlink="">
      <xdr:nvSpPr>
        <xdr:cNvPr id="6" name="Shape for Logo">
          <a:extLst>
            <a:ext uri="{FF2B5EF4-FFF2-40B4-BE49-F238E27FC236}">
              <a16:creationId xmlns:a16="http://schemas.microsoft.com/office/drawing/2014/main" id="{75EF1135-25CE-4872-8D69-13CAF2F2EAE9}"/>
            </a:ext>
          </a:extLst>
        </xdr:cNvPr>
        <xdr:cNvSpPr/>
      </xdr:nvSpPr>
      <xdr:spPr>
        <a:xfrm>
          <a:off x="11740303" y="138287"/>
          <a:ext cx="1272601" cy="554323"/>
        </a:xfrm>
        <a:prstGeom prst="rect">
          <a:avLst/>
        </a:prstGeom>
        <a:gradFill flip="none"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path path="circle">
            <a:fillToRect l="50000" t="50000" r="50000" b="50000"/>
          </a:path>
          <a:tileRect/>
        </a:gradFill>
        <a:scene3d>
          <a:camera prst="orthographicFront"/>
          <a:lightRig rig="balanced" dir="t"/>
        </a:scene3d>
        <a:sp3d prstMaterial="dkEdge">
          <a:bevelT w="120650" h="133350"/>
          <a:bevelB w="127000" h="127000"/>
          <a:extrusionClr>
            <a:schemeClr val="accent5">
              <a:lumMod val="50000"/>
            </a:schemeClr>
          </a:extrusionClr>
        </a:sp3d>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IN" sz="1200" b="1">
              <a:latin typeface="Aptos Narrow" panose="020B0004020202020204" pitchFamily="34" charset="0"/>
            </a:rPr>
            <a:t>Go to</a:t>
          </a:r>
          <a:r>
            <a:rPr lang="en-IN" sz="1200" b="1" baseline="0">
              <a:latin typeface="Aptos Narrow" panose="020B0004020202020204" pitchFamily="34" charset="0"/>
            </a:rPr>
            <a:t> Invoice</a:t>
          </a:r>
          <a:endParaRPr lang="en-IN" sz="1200" b="1">
            <a:latin typeface="Aptos Narrow" panose="020B0004020202020204" pitchFamily="34" charset="0"/>
          </a:endParaRPr>
        </a:p>
      </xdr:txBody>
    </xdr:sp>
    <xdr:clientData/>
  </xdr:twoCellAnchor>
  <xdr:twoCellAnchor>
    <xdr:from>
      <xdr:col>0</xdr:col>
      <xdr:colOff>440925</xdr:colOff>
      <xdr:row>0</xdr:row>
      <xdr:rowOff>138287</xdr:rowOff>
    </xdr:from>
    <xdr:to>
      <xdr:col>1</xdr:col>
      <xdr:colOff>485859</xdr:colOff>
      <xdr:row>3</xdr:row>
      <xdr:rowOff>121110</xdr:rowOff>
    </xdr:to>
    <xdr:sp macro="[0]!GoToIntoAndInsts" textlink="">
      <xdr:nvSpPr>
        <xdr:cNvPr id="9" name="Shape for Logo">
          <a:extLst>
            <a:ext uri="{FF2B5EF4-FFF2-40B4-BE49-F238E27FC236}">
              <a16:creationId xmlns:a16="http://schemas.microsoft.com/office/drawing/2014/main" id="{83F89563-3A1C-458F-8FDB-10736217891F}"/>
            </a:ext>
          </a:extLst>
        </xdr:cNvPr>
        <xdr:cNvSpPr/>
      </xdr:nvSpPr>
      <xdr:spPr>
        <a:xfrm>
          <a:off x="440925" y="138287"/>
          <a:ext cx="1272601" cy="554323"/>
        </a:xfrm>
        <a:prstGeom prst="rect">
          <a:avLst/>
        </a:prstGeom>
        <a:gradFill flip="none"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path path="circle">
            <a:fillToRect l="50000" t="50000" r="50000" b="50000"/>
          </a:path>
          <a:tileRect/>
        </a:gradFill>
        <a:scene3d>
          <a:camera prst="orthographicFront"/>
          <a:lightRig rig="balanced" dir="t"/>
        </a:scene3d>
        <a:sp3d prstMaterial="dkEdge">
          <a:bevelT w="120650" h="133350"/>
          <a:bevelB w="127000" h="127000"/>
          <a:extrusionClr>
            <a:schemeClr val="accent5">
              <a:lumMod val="50000"/>
            </a:schemeClr>
          </a:extrusionClr>
        </a:sp3d>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IN" sz="1200" b="1">
              <a:latin typeface="Aptos Narrow" panose="020B0004020202020204" pitchFamily="34" charset="0"/>
            </a:rPr>
            <a:t>Go to</a:t>
          </a:r>
          <a:r>
            <a:rPr lang="en-IN" sz="1200" b="1" baseline="0">
              <a:latin typeface="Aptos Narrow" panose="020B0004020202020204" pitchFamily="34" charset="0"/>
            </a:rPr>
            <a:t> Intro &amp; Instructions</a:t>
          </a:r>
          <a:endParaRPr lang="en-IN" sz="1200" b="1">
            <a:latin typeface="Aptos Narrow" panose="020B0004020202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9525</xdr:colOff>
      <xdr:row>5</xdr:row>
      <xdr:rowOff>28576</xdr:rowOff>
    </xdr:from>
    <xdr:to>
      <xdr:col>11</xdr:col>
      <xdr:colOff>28575</xdr:colOff>
      <xdr:row>5</xdr:row>
      <xdr:rowOff>638176</xdr:rowOff>
    </xdr:to>
    <xdr:sp macro="[0]!ShowPrintPreview" textlink="">
      <xdr:nvSpPr>
        <xdr:cNvPr id="2" name="Rectangle: Rounded Corners 1">
          <a:extLst>
            <a:ext uri="{FF2B5EF4-FFF2-40B4-BE49-F238E27FC236}">
              <a16:creationId xmlns:a16="http://schemas.microsoft.com/office/drawing/2014/main" id="{DA354148-A4C2-1D4C-D91C-ED6161D64F3F}"/>
            </a:ext>
          </a:extLst>
        </xdr:cNvPr>
        <xdr:cNvSpPr/>
      </xdr:nvSpPr>
      <xdr:spPr>
        <a:xfrm>
          <a:off x="8105775" y="1771651"/>
          <a:ext cx="2257425" cy="609600"/>
        </a:xfrm>
        <a:prstGeom prst="roundRect">
          <a:avLst>
            <a:gd name="adj" fmla="val 50000"/>
          </a:avLst>
        </a:prstGeom>
        <a:gradFill flip="none" rotWithShape="1">
          <a:gsLst>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circle">
            <a:fillToRect l="50000" t="50000" r="50000" b="50000"/>
          </a:path>
          <a:tileRect/>
        </a:gradFill>
        <a:scene3d>
          <a:camera prst="orthographicFront"/>
          <a:lightRig rig="threePt" dir="t"/>
        </a:scene3d>
        <a:sp3d extrusionH="76200" prstMaterial="matte">
          <a:bevelT w="50800" h="107950"/>
          <a:bevelB w="57150"/>
          <a:extrusionClr>
            <a:srgbClr val="002060"/>
          </a:extrusionClr>
        </a:sp3d>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IN" sz="1600" b="1">
              <a:latin typeface="Comfortaa Medium" pitchFamily="2" charset="0"/>
            </a:rPr>
            <a:t>Print</a:t>
          </a:r>
        </a:p>
      </xdr:txBody>
    </xdr:sp>
    <xdr:clientData/>
  </xdr:twoCellAnchor>
  <xdr:twoCellAnchor>
    <xdr:from>
      <xdr:col>9</xdr:col>
      <xdr:colOff>28575</xdr:colOff>
      <xdr:row>5</xdr:row>
      <xdr:rowOff>762001</xdr:rowOff>
    </xdr:from>
    <xdr:to>
      <xdr:col>11</xdr:col>
      <xdr:colOff>47625</xdr:colOff>
      <xdr:row>6</xdr:row>
      <xdr:rowOff>161925</xdr:rowOff>
    </xdr:to>
    <xdr:sp macro="[0]!PrintToPDF" textlink="">
      <xdr:nvSpPr>
        <xdr:cNvPr id="3" name="Rectangle: Rounded Corners 2">
          <a:extLst>
            <a:ext uri="{FF2B5EF4-FFF2-40B4-BE49-F238E27FC236}">
              <a16:creationId xmlns:a16="http://schemas.microsoft.com/office/drawing/2014/main" id="{C10AF336-9FB3-4131-8E4B-C7B7B8307AE0}"/>
            </a:ext>
          </a:extLst>
        </xdr:cNvPr>
        <xdr:cNvSpPr/>
      </xdr:nvSpPr>
      <xdr:spPr>
        <a:xfrm>
          <a:off x="8124825" y="2505076"/>
          <a:ext cx="2257425" cy="628649"/>
        </a:xfrm>
        <a:prstGeom prst="roundRect">
          <a:avLst>
            <a:gd name="adj" fmla="val 50000"/>
          </a:avLst>
        </a:prstGeom>
        <a:gradFill flip="none" rotWithShape="1">
          <a:gsLst>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circle">
            <a:fillToRect l="50000" t="50000" r="50000" b="50000"/>
          </a:path>
          <a:tileRect/>
        </a:gradFill>
        <a:scene3d>
          <a:camera prst="orthographicFront"/>
          <a:lightRig rig="threePt" dir="t"/>
        </a:scene3d>
        <a:sp3d extrusionH="76200" prstMaterial="matte">
          <a:bevelT w="50800" h="107950"/>
          <a:bevelB w="57150"/>
          <a:extrusionClr>
            <a:srgbClr val="002060"/>
          </a:extrusionClr>
        </a:sp3d>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IN" sz="1600" b="1">
              <a:latin typeface="Comfortaa Medium" pitchFamily="2" charset="0"/>
            </a:rPr>
            <a:t>Print to PDF</a:t>
          </a:r>
        </a:p>
      </xdr:txBody>
    </xdr:sp>
    <xdr:clientData/>
  </xdr:twoCellAnchor>
  <xdr:twoCellAnchor>
    <xdr:from>
      <xdr:col>9</xdr:col>
      <xdr:colOff>0</xdr:colOff>
      <xdr:row>21</xdr:row>
      <xdr:rowOff>42862</xdr:rowOff>
    </xdr:from>
    <xdr:to>
      <xdr:col>9</xdr:col>
      <xdr:colOff>1272601</xdr:colOff>
      <xdr:row>24</xdr:row>
      <xdr:rowOff>25685</xdr:rowOff>
    </xdr:to>
    <xdr:sp macro="[0]!GoToSupplierSheet" textlink="">
      <xdr:nvSpPr>
        <xdr:cNvPr id="5" name="Shape for Logo">
          <a:extLst>
            <a:ext uri="{FF2B5EF4-FFF2-40B4-BE49-F238E27FC236}">
              <a16:creationId xmlns:a16="http://schemas.microsoft.com/office/drawing/2014/main" id="{26F16DE7-8746-409F-96FE-FB264D47EDCD}"/>
            </a:ext>
          </a:extLst>
        </xdr:cNvPr>
        <xdr:cNvSpPr/>
      </xdr:nvSpPr>
      <xdr:spPr>
        <a:xfrm>
          <a:off x="8096250" y="6434137"/>
          <a:ext cx="1272601" cy="554323"/>
        </a:xfrm>
        <a:prstGeom prst="rect">
          <a:avLst/>
        </a:prstGeom>
        <a:gradFill flip="none"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path path="circle">
            <a:fillToRect l="50000" t="50000" r="50000" b="50000"/>
          </a:path>
          <a:tileRect/>
        </a:gradFill>
        <a:scene3d>
          <a:camera prst="orthographicFront"/>
          <a:lightRig rig="balanced" dir="t"/>
        </a:scene3d>
        <a:sp3d prstMaterial="dkEdge">
          <a:bevelT w="120650" h="133350"/>
          <a:bevelB w="127000" h="127000"/>
          <a:extrusionClr>
            <a:schemeClr val="accent5">
              <a:lumMod val="50000"/>
            </a:schemeClr>
          </a:extrusionClr>
        </a:sp3d>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IN" sz="1200" b="1">
              <a:latin typeface="Aptos Narrow" panose="020B0004020202020204" pitchFamily="34" charset="0"/>
            </a:rPr>
            <a:t>Go to</a:t>
          </a:r>
          <a:r>
            <a:rPr lang="en-IN" sz="1200" b="1" baseline="0">
              <a:latin typeface="Aptos Narrow" panose="020B0004020202020204" pitchFamily="34" charset="0"/>
            </a:rPr>
            <a:t> Supplier Details</a:t>
          </a:r>
          <a:endParaRPr lang="en-IN" sz="1200" b="1">
            <a:latin typeface="Aptos Narrow" panose="020B0004020202020204" pitchFamily="34" charset="0"/>
          </a:endParaRPr>
        </a:p>
      </xdr:txBody>
    </xdr:sp>
    <xdr:clientData/>
  </xdr:twoCellAnchor>
  <xdr:twoCellAnchor>
    <xdr:from>
      <xdr:col>9</xdr:col>
      <xdr:colOff>0</xdr:colOff>
      <xdr:row>25</xdr:row>
      <xdr:rowOff>102393</xdr:rowOff>
    </xdr:from>
    <xdr:to>
      <xdr:col>9</xdr:col>
      <xdr:colOff>1272601</xdr:colOff>
      <xdr:row>28</xdr:row>
      <xdr:rowOff>56641</xdr:rowOff>
    </xdr:to>
    <xdr:sp macro="[0]!GoToReceiverSheet" textlink="">
      <xdr:nvSpPr>
        <xdr:cNvPr id="6" name="Shape for Logo">
          <a:extLst>
            <a:ext uri="{FF2B5EF4-FFF2-40B4-BE49-F238E27FC236}">
              <a16:creationId xmlns:a16="http://schemas.microsoft.com/office/drawing/2014/main" id="{4EDEC16C-999B-43F0-A060-F542908D559D}"/>
            </a:ext>
          </a:extLst>
        </xdr:cNvPr>
        <xdr:cNvSpPr/>
      </xdr:nvSpPr>
      <xdr:spPr>
        <a:xfrm>
          <a:off x="8096250" y="7265193"/>
          <a:ext cx="1272601" cy="554323"/>
        </a:xfrm>
        <a:prstGeom prst="rect">
          <a:avLst/>
        </a:prstGeom>
        <a:gradFill flip="none"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path path="circle">
            <a:fillToRect l="50000" t="50000" r="50000" b="50000"/>
          </a:path>
          <a:tileRect/>
        </a:gradFill>
        <a:scene3d>
          <a:camera prst="orthographicFront"/>
          <a:lightRig rig="balanced" dir="t"/>
        </a:scene3d>
        <a:sp3d prstMaterial="dkEdge">
          <a:bevelT w="120650" h="133350"/>
          <a:bevelB w="127000" h="127000"/>
          <a:extrusionClr>
            <a:schemeClr val="accent5">
              <a:lumMod val="50000"/>
            </a:schemeClr>
          </a:extrusionClr>
        </a:sp3d>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IN" sz="1200" b="1">
              <a:latin typeface="Aptos Narrow" panose="020B0004020202020204" pitchFamily="34" charset="0"/>
            </a:rPr>
            <a:t>Go to</a:t>
          </a:r>
          <a:r>
            <a:rPr lang="en-IN" sz="1200" b="1" baseline="0">
              <a:latin typeface="Aptos Narrow" panose="020B0004020202020204" pitchFamily="34" charset="0"/>
            </a:rPr>
            <a:t> </a:t>
          </a:r>
          <a:r>
            <a:rPr lang="en-IN" sz="1200" b="1" baseline="0">
              <a:solidFill>
                <a:schemeClr val="lt1"/>
              </a:solidFill>
              <a:effectLst/>
              <a:latin typeface="Aptos Narrow" panose="020B0004020202020204" pitchFamily="34" charset="0"/>
              <a:ea typeface="+mn-ea"/>
              <a:cs typeface="+mn-cs"/>
            </a:rPr>
            <a:t>Receiver Details</a:t>
          </a:r>
          <a:endParaRPr lang="en-IN" sz="1200" b="1">
            <a:latin typeface="Aptos Narrow" panose="020B0004020202020204" pitchFamily="34" charset="0"/>
          </a:endParaRPr>
        </a:p>
      </xdr:txBody>
    </xdr:sp>
    <xdr:clientData/>
  </xdr:twoCellAnchor>
  <xdr:twoCellAnchor>
    <xdr:from>
      <xdr:col>9</xdr:col>
      <xdr:colOff>0</xdr:colOff>
      <xdr:row>16</xdr:row>
      <xdr:rowOff>164306</xdr:rowOff>
    </xdr:from>
    <xdr:to>
      <xdr:col>9</xdr:col>
      <xdr:colOff>1272601</xdr:colOff>
      <xdr:row>19</xdr:row>
      <xdr:rowOff>147129</xdr:rowOff>
    </xdr:to>
    <xdr:sp macro="[0]!GoToIntoAndInsts" textlink="">
      <xdr:nvSpPr>
        <xdr:cNvPr id="7" name="Shape for Logo">
          <a:extLst>
            <a:ext uri="{FF2B5EF4-FFF2-40B4-BE49-F238E27FC236}">
              <a16:creationId xmlns:a16="http://schemas.microsoft.com/office/drawing/2014/main" id="{6A636401-A26A-4B3C-850D-F0235429F7E9}"/>
            </a:ext>
          </a:extLst>
        </xdr:cNvPr>
        <xdr:cNvSpPr/>
      </xdr:nvSpPr>
      <xdr:spPr>
        <a:xfrm>
          <a:off x="8096250" y="5603081"/>
          <a:ext cx="1272601" cy="554323"/>
        </a:xfrm>
        <a:prstGeom prst="rect">
          <a:avLst/>
        </a:prstGeom>
        <a:gradFill flip="none"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path path="circle">
            <a:fillToRect l="50000" t="50000" r="50000" b="50000"/>
          </a:path>
          <a:tileRect/>
        </a:gradFill>
        <a:scene3d>
          <a:camera prst="orthographicFront"/>
          <a:lightRig rig="balanced" dir="t"/>
        </a:scene3d>
        <a:sp3d prstMaterial="dkEdge">
          <a:bevelT w="120650" h="133350"/>
          <a:bevelB w="127000" h="127000"/>
          <a:extrusionClr>
            <a:schemeClr val="accent5">
              <a:lumMod val="50000"/>
            </a:schemeClr>
          </a:extrusionClr>
        </a:sp3d>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IN" sz="1200" b="1">
              <a:latin typeface="Aptos Narrow" panose="020B0004020202020204" pitchFamily="34" charset="0"/>
            </a:rPr>
            <a:t>Go to</a:t>
          </a:r>
          <a:r>
            <a:rPr lang="en-IN" sz="1200" b="1" baseline="0">
              <a:latin typeface="Aptos Narrow" panose="020B0004020202020204" pitchFamily="34" charset="0"/>
            </a:rPr>
            <a:t> Intro &amp; Instructions</a:t>
          </a:r>
          <a:endParaRPr lang="en-IN" sz="1200" b="1">
            <a:latin typeface="Aptos Narrow" panose="020B0004020202020204" pitchFamily="34" charset="0"/>
          </a:endParaRPr>
        </a:p>
      </xdr:txBody>
    </xdr:sp>
    <xdr:clientData/>
  </xdr:twoCellAnchor>
  <xdr:twoCellAnchor>
    <xdr:from>
      <xdr:col>9</xdr:col>
      <xdr:colOff>0</xdr:colOff>
      <xdr:row>29</xdr:row>
      <xdr:rowOff>142875</xdr:rowOff>
    </xdr:from>
    <xdr:to>
      <xdr:col>9</xdr:col>
      <xdr:colOff>1272601</xdr:colOff>
      <xdr:row>32</xdr:row>
      <xdr:rowOff>125698</xdr:rowOff>
    </xdr:to>
    <xdr:sp macro="[0]!GoToInvListSheet" textlink="">
      <xdr:nvSpPr>
        <xdr:cNvPr id="8" name="Shape for Logo">
          <a:extLst>
            <a:ext uri="{FF2B5EF4-FFF2-40B4-BE49-F238E27FC236}">
              <a16:creationId xmlns:a16="http://schemas.microsoft.com/office/drawing/2014/main" id="{CD4A0FCC-CA1F-4532-9375-E09D6CDB7EDE}"/>
            </a:ext>
          </a:extLst>
        </xdr:cNvPr>
        <xdr:cNvSpPr/>
      </xdr:nvSpPr>
      <xdr:spPr>
        <a:xfrm>
          <a:off x="8096250" y="8096250"/>
          <a:ext cx="1272601" cy="554323"/>
        </a:xfrm>
        <a:prstGeom prst="rect">
          <a:avLst/>
        </a:prstGeom>
        <a:gradFill flip="none"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path path="circle">
            <a:fillToRect l="50000" t="50000" r="50000" b="50000"/>
          </a:path>
          <a:tileRect/>
        </a:gradFill>
        <a:scene3d>
          <a:camera prst="orthographicFront"/>
          <a:lightRig rig="balanced" dir="t"/>
        </a:scene3d>
        <a:sp3d prstMaterial="dkEdge">
          <a:bevelT w="120650" h="133350"/>
          <a:bevelB w="127000" h="127000"/>
          <a:extrusionClr>
            <a:schemeClr val="accent5">
              <a:lumMod val="50000"/>
            </a:schemeClr>
          </a:extrusionClr>
        </a:sp3d>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IN" sz="1200" b="1">
              <a:latin typeface="Aptos Narrow" panose="020B0004020202020204" pitchFamily="34" charset="0"/>
            </a:rPr>
            <a:t>Go to</a:t>
          </a:r>
          <a:r>
            <a:rPr lang="en-IN" sz="1200" b="1" baseline="0">
              <a:latin typeface="Aptos Narrow" panose="020B0004020202020204" pitchFamily="34" charset="0"/>
            </a:rPr>
            <a:t> </a:t>
          </a:r>
          <a:r>
            <a:rPr lang="en-IN" sz="1200" b="1" baseline="0">
              <a:solidFill>
                <a:schemeClr val="lt1"/>
              </a:solidFill>
              <a:effectLst/>
              <a:latin typeface="Aptos Narrow" panose="020B0004020202020204" pitchFamily="34" charset="0"/>
              <a:ea typeface="+mn-ea"/>
              <a:cs typeface="+mn-cs"/>
            </a:rPr>
            <a:t>List of </a:t>
          </a:r>
          <a:r>
            <a:rPr lang="en-IN" sz="1200" b="1" baseline="0">
              <a:latin typeface="Aptos Narrow" panose="020B0004020202020204" pitchFamily="34" charset="0"/>
            </a:rPr>
            <a:t>Invoices</a:t>
          </a:r>
          <a:endParaRPr lang="en-IN" sz="1200" b="1">
            <a:latin typeface="Aptos Narrow" panose="020B0004020202020204" pitchFamily="34" charset="0"/>
          </a:endParaRPr>
        </a:p>
      </xdr:txBody>
    </xdr: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3A164061-5050-403D-8997-F87CBF1CC5B1}" sourceName="Familiar Name">
  <extLst>
    <x:ext xmlns:x15="http://schemas.microsoft.com/office/spreadsheetml/2010/11/main" uri="{2F2917AC-EB37-4324-AD4E-5DD8C200BD13}">
      <x15:tableSlicerCache tableId="3" column="10"/>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ame" xr10:uid="{D13C1AB9-C2DD-487F-BD70-A5FB9575F0DD}" cache="Slicer_Name" caption="Familiar Nam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BE6A664-01D1-473F-92A1-93F91DB977CE}" name="Bank_Details" displayName="Bank_Details" ref="G13:H16" headerRowCount="0" totalsRowShown="0" headerRowDxfId="62" dataDxfId="61">
  <tableColumns count="2">
    <tableColumn id="1" xr3:uid="{1D3193FA-E8ED-4509-992D-44ACE25282B1}" name="Column1" headerRowDxfId="60" dataDxfId="59"/>
    <tableColumn id="2" xr3:uid="{3681D1FE-0463-4EE6-A189-84EB0C030E3C}" name="Column2" headerRowDxfId="58" dataDxfId="57"/>
  </tableColumns>
  <tableStyleInfo name="TableStyleLight14"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218BD07-7ACF-46E6-9F2B-A0DF7EF9A785}" name="Receivers" displayName="Receivers" ref="A5:O7" totalsRowShown="0" headerRowDxfId="56" dataDxfId="55" tableBorderDxfId="54">
  <autoFilter ref="A5:O7" xr:uid="{1218BD07-7ACF-46E6-9F2B-A0DF7EF9A78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3" xr3:uid="{34F145C8-F9DA-4D55-B225-DD867806595F}" name="Title" dataDxfId="53"/>
    <tableColumn id="1" xr3:uid="{7B502294-36D9-4153-AD68-413BA2633A46}" name="Name of Receiver" dataDxfId="52"/>
    <tableColumn id="14" xr3:uid="{2C43AE41-85E5-4261-BD29-5BABE9916E83}" name="Familiar Name" dataDxfId="51"/>
    <tableColumn id="2" xr3:uid="{9CED521F-C6E8-420A-8751-358F0AC7A836}" name="GSTN" dataDxfId="50"/>
    <tableColumn id="15" xr3:uid="{8911DC66-6ABA-43C1-9488-F4C9BA38AAA8}" name="Building Name" dataDxfId="49"/>
    <tableColumn id="3" xr3:uid="{0D180A64-4208-4477-8F32-6C34E00C79AF}" name="Door number" dataDxfId="48"/>
    <tableColumn id="4" xr3:uid="{0F7D7C85-1A78-4352-A032-6E9043FF400F}" name="Address Line 1" dataDxfId="47"/>
    <tableColumn id="5" xr3:uid="{C3D81492-59C7-4BAD-AD7E-F949ADF89EBD}" name="Address Line 2" dataDxfId="46"/>
    <tableColumn id="6" xr3:uid="{FA1C0EED-8CA2-4B06-ABFB-8E8068BFB76A}" name="City" dataDxfId="45"/>
    <tableColumn id="7" xr3:uid="{94079E38-2AE5-42C7-A224-1CD8D33F00FE}" name="State" dataDxfId="44"/>
    <tableColumn id="8" xr3:uid="{6278A487-9944-4E6C-BEAD-BDA2687F3922}" name="PIN" dataDxfId="43"/>
    <tableColumn id="9" xr3:uid="{4BF7CC44-ACBF-4BC7-B609-DDB614408047}" name="Contact Title" dataDxfId="42"/>
    <tableColumn id="10" xr3:uid="{3F2EC5B5-007C-47DE-9350-A664A5AC83EC}" name="Contact Person" dataDxfId="41"/>
    <tableColumn id="11" xr3:uid="{98C28EB9-BD47-4C24-A5AE-741C7D3A999E}" name="Phone Number" dataDxfId="40"/>
    <tableColumn id="12" xr3:uid="{FD306902-3F2F-4E0D-BC20-28FD88A1FE2B}" name="Email ID" dataDxfId="3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3B311A-B1C8-475F-AFBB-8A13F9C547AA}" name="Invoices" displayName="Invoices" ref="A5:R11" totalsRowCount="1" headerRowDxfId="38" dataDxfId="37" totalsRowDxfId="36">
  <autoFilter ref="A5:R10" xr:uid="{063B311A-B1C8-475F-AFBB-8A13F9C547A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4" xr3:uid="{5D4B6EA5-68CB-461E-93F6-BF5E565EDA11}" name="Document Type" dataDxfId="35" totalsRowDxfId="34"/>
    <tableColumn id="10" xr3:uid="{258D0CD1-E470-4743-960D-7E8781139907}" name="Familiar Name" totalsRowLabel="Total" dataDxfId="33" totalsRowDxfId="32"/>
    <tableColumn id="2" xr3:uid="{0BE09523-9BF7-404A-9303-6C9EC6B00558}" name="Document Number" dataDxfId="31" totalsRowDxfId="30"/>
    <tableColumn id="1" xr3:uid="{6156A561-3BF4-47A4-93B1-A6B406C53C1F}" name="Date" dataDxfId="29" totalsRowDxfId="28"/>
    <tableColumn id="3" xr3:uid="{2A228F91-CC3D-453A-866C-8A5D3CE111A9}" name="Particulars" dataDxfId="27" totalsRowDxfId="26"/>
    <tableColumn id="4" xr3:uid="{D3AB0B34-8368-40B3-8A5E-F2E47EC20A71}" name="Amount" totalsRowFunction="sum" dataDxfId="25" totalsRowDxfId="24" dataCellStyle="Comma"/>
    <tableColumn id="18" xr3:uid="{6D2EDD9A-6512-43A0-806D-B8A359D13156}" name="SAC" dataDxfId="23" totalsRowDxfId="22" dataCellStyle="Comma"/>
    <tableColumn id="5" xr3:uid="{68EB4CC2-280E-4AE1-A079-884D55AC0651}" name="GST Type" dataDxfId="21" totalsRowDxfId="20"/>
    <tableColumn id="6" xr3:uid="{77E92410-E2D5-4B75-AC43-4DED9AE84374}" name="Rate of Tax" dataDxfId="19" totalsRowDxfId="18" dataCellStyle="Per cent"/>
    <tableColumn id="7" xr3:uid="{BC384155-9B84-4F1D-9EDD-BED452B6A835}" name="IGST" totalsRowFunction="sum" dataDxfId="17" totalsRowDxfId="16" dataCellStyle="Comma">
      <calculatedColumnFormula>IF(Invoices[[#This Row],[GST Type]]="IGST",(Invoices[[#This Row],[Amount]]*Invoices[[#This Row],[Rate of Tax]]),0)</calculatedColumnFormula>
    </tableColumn>
    <tableColumn id="8" xr3:uid="{269FB19F-97C9-44A8-9675-4DCB0556BA36}" name="SGST" totalsRowFunction="sum" dataDxfId="15" totalsRowDxfId="14" dataCellStyle="Comma">
      <calculatedColumnFormula>IF(Invoices[[#This Row],[GST Type]]="GST",Invoices[[#This Row],[Amount]]*Invoices[[#This Row],[Rate of Tax]]/2,0)</calculatedColumnFormula>
    </tableColumn>
    <tableColumn id="9" xr3:uid="{76B5872A-CFF1-4385-A915-E7556CB8B845}" name="CGST" totalsRowFunction="sum" dataDxfId="13" totalsRowDxfId="12" dataCellStyle="Comma">
      <calculatedColumnFormula>IF(Invoices[[#This Row],[GST Type]]="GST",Invoices[[#This Row],[Amount]]*Invoices[[#This Row],[Rate of Tax]]/2,0)</calculatedColumnFormula>
    </tableColumn>
    <tableColumn id="13" xr3:uid="{DA3B4E65-3C50-4786-B62F-541CEF97EAB2}" name="Invoice Value" totalsRowFunction="sum" dataDxfId="11" totalsRowDxfId="10" dataCellStyle="Comma">
      <calculatedColumnFormula>Invoices[[#This Row],[Amount]]+Invoices[[#This Row],[IGST]]+Invoices[[#This Row],[SGST]]+Invoices[[#This Row],[CGST]]</calculatedColumnFormula>
    </tableColumn>
    <tableColumn id="16" xr3:uid="{9E855AB0-9CF5-4225-BC5B-909543A58B0D}" name="TDS Y/N" dataDxfId="9" totalsRowDxfId="8" dataCellStyle="Comma"/>
    <tableColumn id="15" xr3:uid="{12187665-D317-4654-BFD4-7A64CB9AC13D}" name="TDS %" dataDxfId="7" totalsRowDxfId="6" dataCellStyle="Per cent"/>
    <tableColumn id="11" xr3:uid="{49C061D8-3CD8-480C-B386-458177005341}" name="TDS ₹" totalsRowFunction="sum" dataDxfId="5" totalsRowDxfId="4" dataCellStyle="Comma">
      <calculatedColumnFormula>IF(Invoices[[#This Row],[TDS Y/N]]="Yes",Invoices[[#This Row],[Amount]]*Invoices[[#This Row],[TDS %]],0)</calculatedColumnFormula>
    </tableColumn>
    <tableColumn id="12" xr3:uid="{59A024B7-0213-4736-A4B1-04BDE7CF677A}" name="Net Pay" totalsRowFunction="sum" dataDxfId="3" totalsRowDxfId="2" dataCellStyle="Comma">
      <calculatedColumnFormula>Invoices[[#This Row],[Amount]]+Invoices[[#This Row],[IGST]]+Invoices[[#This Row],[SGST]]+Invoices[[#This Row],[CGST]]-Invoices[[#This Row],[TDS ₹]]</calculatedColumnFormula>
    </tableColumn>
    <tableColumn id="17" xr3:uid="{84DBE45E-0E1B-4D73-97E5-DE406D34AD83}" name="Document Status" dataDxfId="1" totalsRowDxfId="0"/>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supplier@email.com" TargetMode="Externa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surajit.ghara@gmail.com" TargetMode="Externa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1279BA-028E-48DA-96C1-F193C6FDB96E}">
  <sheetPr codeName="Sheet5"/>
  <dimension ref="A1:G46"/>
  <sheetViews>
    <sheetView showGridLines="0" showRowColHeaders="0" tabSelected="1" zoomScale="122" zoomScaleNormal="146" workbookViewId="0"/>
  </sheetViews>
  <sheetFormatPr defaultColWidth="0" defaultRowHeight="15" zeroHeight="1" x14ac:dyDescent="0.25"/>
  <cols>
    <col min="1" max="4" width="9.140625" style="1" customWidth="1"/>
    <col min="5" max="5" width="6" style="1" customWidth="1"/>
    <col min="6" max="6" width="89.42578125" style="1" customWidth="1"/>
    <col min="7" max="7" width="9.140625" style="1" customWidth="1"/>
    <col min="8" max="8" width="9.140625" style="1" hidden="1" customWidth="1"/>
    <col min="9" max="16384" width="9.140625" style="1" hidden="1"/>
  </cols>
  <sheetData>
    <row r="1" spans="6:6" x14ac:dyDescent="0.25"/>
    <row r="2" spans="6:6" x14ac:dyDescent="0.25"/>
    <row r="3" spans="6:6" x14ac:dyDescent="0.25"/>
    <row r="4" spans="6:6" x14ac:dyDescent="0.25"/>
    <row r="5" spans="6:6" x14ac:dyDescent="0.25"/>
    <row r="6" spans="6:6" ht="34.5" customHeight="1" x14ac:dyDescent="0.25">
      <c r="F6" s="5" t="s">
        <v>59</v>
      </c>
    </row>
    <row r="7" spans="6:6" ht="78.75" x14ac:dyDescent="0.25">
      <c r="F7" s="36" t="s">
        <v>121</v>
      </c>
    </row>
    <row r="8" spans="6:6" x14ac:dyDescent="0.25"/>
    <row r="9" spans="6:6" x14ac:dyDescent="0.25"/>
    <row r="10" spans="6:6" ht="27.75" x14ac:dyDescent="0.25">
      <c r="F10" s="5" t="s">
        <v>47</v>
      </c>
    </row>
    <row r="11" spans="6:6" ht="24" customHeight="1" x14ac:dyDescent="0.25">
      <c r="F11" s="37" t="s">
        <v>64</v>
      </c>
    </row>
    <row r="12" spans="6:6" ht="15.75" x14ac:dyDescent="0.25">
      <c r="F12" s="36" t="s">
        <v>118</v>
      </c>
    </row>
    <row r="13" spans="6:6" ht="49.5" customHeight="1" x14ac:dyDescent="0.25">
      <c r="F13" s="36" t="s">
        <v>65</v>
      </c>
    </row>
    <row r="14" spans="6:6" ht="39.75" customHeight="1" x14ac:dyDescent="0.25">
      <c r="F14" s="36" t="s">
        <v>62</v>
      </c>
    </row>
    <row r="15" spans="6:6" ht="18" customHeight="1" x14ac:dyDescent="0.25">
      <c r="F15" s="36" t="s">
        <v>73</v>
      </c>
    </row>
    <row r="16" spans="6:6" ht="18" customHeight="1" x14ac:dyDescent="0.25">
      <c r="F16" s="36" t="s">
        <v>70</v>
      </c>
    </row>
    <row r="17" spans="6:6" ht="15.75" x14ac:dyDescent="0.25">
      <c r="F17" s="36" t="s">
        <v>135</v>
      </c>
    </row>
    <row r="18" spans="6:6" ht="15.75" x14ac:dyDescent="0.25">
      <c r="F18" s="7"/>
    </row>
    <row r="19" spans="6:6" ht="24" customHeight="1" x14ac:dyDescent="0.25">
      <c r="F19" s="37" t="s">
        <v>48</v>
      </c>
    </row>
    <row r="20" spans="6:6" ht="18" customHeight="1" x14ac:dyDescent="0.25">
      <c r="F20" s="36" t="s">
        <v>55</v>
      </c>
    </row>
    <row r="21" spans="6:6" ht="15.75" x14ac:dyDescent="0.25">
      <c r="F21" s="7"/>
    </row>
    <row r="22" spans="6:6" ht="24" customHeight="1" x14ac:dyDescent="0.25">
      <c r="F22" s="37" t="s">
        <v>49</v>
      </c>
    </row>
    <row r="23" spans="6:6" ht="18" customHeight="1" x14ac:dyDescent="0.25">
      <c r="F23" s="38" t="s">
        <v>120</v>
      </c>
    </row>
    <row r="24" spans="6:6" ht="15.75" x14ac:dyDescent="0.25">
      <c r="F24" s="6"/>
    </row>
    <row r="25" spans="6:6" ht="24" customHeight="1" x14ac:dyDescent="0.25">
      <c r="F25" s="37" t="s">
        <v>57</v>
      </c>
    </row>
    <row r="26" spans="6:6" ht="18" customHeight="1" x14ac:dyDescent="0.25">
      <c r="F26" s="38" t="s">
        <v>63</v>
      </c>
    </row>
    <row r="27" spans="6:6" ht="18" customHeight="1" x14ac:dyDescent="0.25">
      <c r="F27" s="36" t="s">
        <v>72</v>
      </c>
    </row>
    <row r="28" spans="6:6" ht="15.75" x14ac:dyDescent="0.25">
      <c r="F28" s="36" t="s">
        <v>81</v>
      </c>
    </row>
    <row r="29" spans="6:6" ht="15.75" x14ac:dyDescent="0.25">
      <c r="F29" s="36" t="s">
        <v>134</v>
      </c>
    </row>
    <row r="30" spans="6:6" ht="15.75" x14ac:dyDescent="0.25">
      <c r="F30" s="36"/>
    </row>
    <row r="31" spans="6:6" x14ac:dyDescent="0.25"/>
    <row r="32" spans="6:6" ht="27.75" x14ac:dyDescent="0.25">
      <c r="F32" s="5" t="s">
        <v>66</v>
      </c>
    </row>
    <row r="33" spans="6:6" ht="30" x14ac:dyDescent="0.25">
      <c r="F33" s="39" t="s">
        <v>68</v>
      </c>
    </row>
    <row r="34" spans="6:6" x14ac:dyDescent="0.25">
      <c r="F34" s="40" t="s">
        <v>67</v>
      </c>
    </row>
    <row r="35" spans="6:6" ht="30" x14ac:dyDescent="0.25">
      <c r="F35" s="39" t="s">
        <v>69</v>
      </c>
    </row>
    <row r="36" spans="6:6" x14ac:dyDescent="0.25">
      <c r="F36" s="39"/>
    </row>
    <row r="37" spans="6:6" x14ac:dyDescent="0.25"/>
    <row r="38" spans="6:6" ht="27.75" x14ac:dyDescent="0.25">
      <c r="F38" s="5" t="s">
        <v>119</v>
      </c>
    </row>
    <row r="39" spans="6:6" ht="60" x14ac:dyDescent="0.25">
      <c r="F39" s="39" t="s">
        <v>122</v>
      </c>
    </row>
    <row r="40" spans="6:6" x14ac:dyDescent="0.25"/>
    <row r="41" spans="6:6" x14ac:dyDescent="0.25"/>
    <row r="42" spans="6:6" ht="27.75" x14ac:dyDescent="0.25">
      <c r="F42" s="5" t="s">
        <v>139</v>
      </c>
    </row>
    <row r="43" spans="6:6" x14ac:dyDescent="0.25"/>
    <row r="44" spans="6:6" ht="45" x14ac:dyDescent="0.25">
      <c r="F44" s="73" t="s">
        <v>137</v>
      </c>
    </row>
    <row r="45" spans="6:6" ht="42.75" customHeight="1" x14ac:dyDescent="0.25">
      <c r="F45" s="73" t="s">
        <v>138</v>
      </c>
    </row>
    <row r="46" spans="6:6" ht="42.75" customHeight="1" x14ac:dyDescent="0.25">
      <c r="F46" s="73" t="s">
        <v>136</v>
      </c>
    </row>
  </sheetData>
  <sheetProtection algorithmName="SHA-512" hashValue="kk5hDts/Ry+aV87sPo+LLLz2crbzj4QN6nqdXTiDXpmKa95yGJPPS7JFPk7fgPnr9Eg96bskXP/dZiWcsFJH/Q==" saltValue="0C//oui+LdMoHfHus9PyDA==" spinCount="100000" sheet="1" objects="1" scenarios="1" selectLockedCells="1" selectUnlockedCells="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7C6DD1-DB5E-4C7C-B6D5-2B918C28531B}">
  <sheetPr codeName="Sheet1"/>
  <dimension ref="A1:K26"/>
  <sheetViews>
    <sheetView showGridLines="0" showRowColHeaders="0" zoomScale="145" workbookViewId="0">
      <selection activeCell="E7" sqref="E7"/>
    </sheetView>
  </sheetViews>
  <sheetFormatPr defaultColWidth="0" defaultRowHeight="15.75" zeroHeight="1" x14ac:dyDescent="0.25"/>
  <cols>
    <col min="1" max="3" width="9.140625" style="6" customWidth="1"/>
    <col min="4" max="4" width="19.7109375" style="6" bestFit="1" customWidth="1"/>
    <col min="5" max="5" width="42.42578125" style="6" customWidth="1"/>
    <col min="6" max="6" width="12.85546875" style="6" customWidth="1"/>
    <col min="7" max="7" width="20.28515625" style="6" customWidth="1"/>
    <col min="8" max="8" width="37.42578125" style="6" customWidth="1"/>
    <col min="9" max="9" width="7.85546875" style="6" bestFit="1" customWidth="1"/>
    <col min="10" max="10" width="9.140625" style="6" customWidth="1"/>
    <col min="11" max="11" width="0" style="6" hidden="1" customWidth="1"/>
    <col min="12" max="12" width="9.140625" style="6" hidden="1" customWidth="1"/>
    <col min="13" max="16384" width="9.140625" style="6" hidden="1"/>
  </cols>
  <sheetData>
    <row r="1" spans="4:8" x14ac:dyDescent="0.25"/>
    <row r="2" spans="4:8" x14ac:dyDescent="0.25"/>
    <row r="3" spans="4:8" x14ac:dyDescent="0.25"/>
    <row r="4" spans="4:8" x14ac:dyDescent="0.25"/>
    <row r="5" spans="4:8" ht="18.75" x14ac:dyDescent="0.25">
      <c r="D5" s="101" t="s">
        <v>94</v>
      </c>
      <c r="E5" s="101"/>
      <c r="F5" s="101"/>
      <c r="G5" s="101"/>
      <c r="H5" s="101"/>
    </row>
    <row r="6" spans="4:8" x14ac:dyDescent="0.25"/>
    <row r="7" spans="4:8" x14ac:dyDescent="0.25">
      <c r="D7" s="13" t="s">
        <v>23</v>
      </c>
      <c r="E7" s="10" t="s">
        <v>24</v>
      </c>
    </row>
    <row r="8" spans="4:8" x14ac:dyDescent="0.25">
      <c r="D8" s="13" t="s">
        <v>83</v>
      </c>
      <c r="E8" s="10" t="s">
        <v>84</v>
      </c>
    </row>
    <row r="9" spans="4:8" x14ac:dyDescent="0.25">
      <c r="D9" s="13" t="s">
        <v>10</v>
      </c>
      <c r="E9" s="10" t="s">
        <v>85</v>
      </c>
    </row>
    <row r="10" spans="4:8" x14ac:dyDescent="0.25"/>
    <row r="11" spans="4:8" x14ac:dyDescent="0.25"/>
    <row r="12" spans="4:8" ht="18.75" x14ac:dyDescent="0.3">
      <c r="D12" s="98" t="s">
        <v>95</v>
      </c>
      <c r="E12" s="98"/>
      <c r="G12" s="96" t="s">
        <v>35</v>
      </c>
      <c r="H12" s="97"/>
    </row>
    <row r="13" spans="4:8" x14ac:dyDescent="0.25">
      <c r="D13" s="13" t="s">
        <v>97</v>
      </c>
      <c r="E13" s="10" t="s">
        <v>96</v>
      </c>
      <c r="G13" s="14" t="s">
        <v>30</v>
      </c>
      <c r="H13" s="8" t="s">
        <v>9</v>
      </c>
    </row>
    <row r="14" spans="4:8" x14ac:dyDescent="0.25">
      <c r="D14" s="13" t="s">
        <v>71</v>
      </c>
      <c r="E14" s="10" t="s">
        <v>87</v>
      </c>
      <c r="G14" s="14" t="s">
        <v>31</v>
      </c>
      <c r="H14" s="9" t="s">
        <v>28</v>
      </c>
    </row>
    <row r="15" spans="4:8" x14ac:dyDescent="0.25">
      <c r="D15" s="13" t="s">
        <v>53</v>
      </c>
      <c r="E15" s="10" t="s">
        <v>88</v>
      </c>
      <c r="G15" s="14" t="s">
        <v>32</v>
      </c>
      <c r="H15" s="8" t="s">
        <v>123</v>
      </c>
    </row>
    <row r="16" spans="4:8" x14ac:dyDescent="0.25">
      <c r="D16" s="13" t="s">
        <v>54</v>
      </c>
      <c r="E16" s="10" t="s">
        <v>89</v>
      </c>
      <c r="G16" s="14" t="s">
        <v>33</v>
      </c>
      <c r="H16" s="8" t="s">
        <v>29</v>
      </c>
    </row>
    <row r="17" spans="4:7" x14ac:dyDescent="0.25">
      <c r="D17" s="13" t="s">
        <v>11</v>
      </c>
      <c r="E17" s="10" t="s">
        <v>11</v>
      </c>
    </row>
    <row r="18" spans="4:7" x14ac:dyDescent="0.25">
      <c r="D18" s="13" t="s">
        <v>13</v>
      </c>
      <c r="E18" s="10" t="s">
        <v>13</v>
      </c>
    </row>
    <row r="19" spans="4:7" x14ac:dyDescent="0.25">
      <c r="D19" s="13" t="s">
        <v>93</v>
      </c>
      <c r="E19" s="11" t="s">
        <v>90</v>
      </c>
    </row>
    <row r="20" spans="4:7" ht="18.75" x14ac:dyDescent="0.25">
      <c r="G20" s="15" t="s">
        <v>34</v>
      </c>
    </row>
    <row r="21" spans="4:7" ht="18.75" x14ac:dyDescent="0.25">
      <c r="D21" s="99" t="s">
        <v>8</v>
      </c>
      <c r="E21" s="100"/>
    </row>
    <row r="22" spans="4:7" x14ac:dyDescent="0.25">
      <c r="D22" s="13" t="s">
        <v>56</v>
      </c>
      <c r="E22" s="10" t="s">
        <v>15</v>
      </c>
    </row>
    <row r="23" spans="4:7" x14ac:dyDescent="0.25">
      <c r="D23" s="13" t="s">
        <v>50</v>
      </c>
      <c r="E23" s="10" t="s">
        <v>91</v>
      </c>
    </row>
    <row r="24" spans="4:7" x14ac:dyDescent="0.25">
      <c r="D24" s="13" t="s">
        <v>52</v>
      </c>
      <c r="E24" s="11" t="s">
        <v>92</v>
      </c>
    </row>
    <row r="25" spans="4:7" x14ac:dyDescent="0.25">
      <c r="D25" s="13" t="s">
        <v>51</v>
      </c>
      <c r="E25" s="12" t="s">
        <v>86</v>
      </c>
    </row>
    <row r="26" spans="4:7" x14ac:dyDescent="0.25"/>
  </sheetData>
  <sheetProtection algorithmName="SHA-512" hashValue="NdxOrTByXKlO6nZ4ypptSXLmmLtnsJnkCfG6ndlF9KepocYYK8fvpgdNnnCeRDg55V2zT1M2p76YlI3NJ0nsKg==" saltValue="ZuEGb/zPZePYmsMH2afmBA==" spinCount="100000" sheet="1" objects="1" scenarios="1" selectLockedCells="1"/>
  <mergeCells count="4">
    <mergeCell ref="G12:H12"/>
    <mergeCell ref="D12:E12"/>
    <mergeCell ref="D21:E21"/>
    <mergeCell ref="D5:H5"/>
  </mergeCells>
  <hyperlinks>
    <hyperlink ref="E25" r:id="rId1" xr:uid="{581F19EC-6958-4207-828E-79B528AF885B}"/>
  </hyperlinks>
  <pageMargins left="0.7" right="0.7" top="0.75" bottom="0.75" header="0.3" footer="0.3"/>
  <pageSetup paperSize="9" orientation="landscape" r:id="rId2"/>
  <drawing r:id="rId3"/>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EBA3D6-3654-4EB3-AD15-C92C6B0D504B}">
  <sheetPr codeName="Sheet2"/>
  <dimension ref="A5:R7"/>
  <sheetViews>
    <sheetView showGridLines="0" showRowColHeaders="0" zoomScale="149" workbookViewId="0">
      <selection activeCell="A6" sqref="A6"/>
    </sheetView>
  </sheetViews>
  <sheetFormatPr defaultColWidth="0" defaultRowHeight="15" x14ac:dyDescent="0.25"/>
  <cols>
    <col min="1" max="1" width="7.42578125" style="16" bestFit="1" customWidth="1"/>
    <col min="2" max="2" width="40.28515625" style="16" customWidth="1"/>
    <col min="3" max="3" width="26.42578125" style="16" customWidth="1"/>
    <col min="4" max="4" width="19.7109375" style="16" bestFit="1" customWidth="1"/>
    <col min="5" max="5" width="22.140625" style="16" customWidth="1"/>
    <col min="6" max="6" width="13.42578125" style="16" bestFit="1" customWidth="1"/>
    <col min="7" max="7" width="39.7109375" style="16" customWidth="1"/>
    <col min="8" max="10" width="22.85546875" style="16" customWidth="1"/>
    <col min="11" max="11" width="10.140625" style="16" customWidth="1"/>
    <col min="12" max="12" width="13.5703125" style="16" customWidth="1"/>
    <col min="13" max="13" width="20.28515625" style="16" customWidth="1"/>
    <col min="14" max="14" width="19.42578125" style="16" customWidth="1"/>
    <col min="15" max="15" width="25" style="16" bestFit="1" customWidth="1"/>
    <col min="16" max="18" width="9.140625" style="16" customWidth="1"/>
    <col min="19" max="16384" width="9.140625" style="16" hidden="1"/>
  </cols>
  <sheetData>
    <row r="5" spans="1:15" x14ac:dyDescent="0.25">
      <c r="A5" s="21" t="s">
        <v>23</v>
      </c>
      <c r="B5" s="21" t="s">
        <v>102</v>
      </c>
      <c r="C5" s="21" t="s">
        <v>41</v>
      </c>
      <c r="D5" s="21" t="s">
        <v>10</v>
      </c>
      <c r="E5" s="21" t="s">
        <v>97</v>
      </c>
      <c r="F5" s="21" t="s">
        <v>71</v>
      </c>
      <c r="G5" s="21" t="s">
        <v>53</v>
      </c>
      <c r="H5" s="21" t="s">
        <v>54</v>
      </c>
      <c r="I5" s="21" t="s">
        <v>11</v>
      </c>
      <c r="J5" s="21" t="s">
        <v>13</v>
      </c>
      <c r="K5" s="22" t="s">
        <v>12</v>
      </c>
      <c r="L5" s="21" t="s">
        <v>56</v>
      </c>
      <c r="M5" s="21" t="s">
        <v>50</v>
      </c>
      <c r="N5" s="21" t="s">
        <v>52</v>
      </c>
      <c r="O5" s="21" t="s">
        <v>51</v>
      </c>
    </row>
    <row r="6" spans="1:15" x14ac:dyDescent="0.25">
      <c r="A6" s="16" t="s">
        <v>24</v>
      </c>
      <c r="B6" s="17" t="s">
        <v>103</v>
      </c>
      <c r="C6" s="17" t="s">
        <v>106</v>
      </c>
      <c r="D6" s="17" t="s">
        <v>107</v>
      </c>
      <c r="E6" s="17"/>
      <c r="F6" s="17" t="s">
        <v>115</v>
      </c>
      <c r="G6" s="17" t="s">
        <v>110</v>
      </c>
      <c r="H6" s="17" t="s">
        <v>108</v>
      </c>
      <c r="I6" s="17" t="s">
        <v>11</v>
      </c>
      <c r="J6" s="17" t="s">
        <v>13</v>
      </c>
      <c r="K6" s="18">
        <v>111111</v>
      </c>
      <c r="L6" s="17" t="s">
        <v>15</v>
      </c>
      <c r="M6" s="17" t="s">
        <v>112</v>
      </c>
      <c r="N6" s="19" t="s">
        <v>100</v>
      </c>
      <c r="O6" s="20" t="s">
        <v>114</v>
      </c>
    </row>
    <row r="7" spans="1:15" x14ac:dyDescent="0.25">
      <c r="A7" s="17" t="s">
        <v>24</v>
      </c>
      <c r="B7" s="17" t="s">
        <v>104</v>
      </c>
      <c r="C7" s="17" t="s">
        <v>105</v>
      </c>
      <c r="D7" s="17" t="s">
        <v>117</v>
      </c>
      <c r="E7" s="17" t="s">
        <v>98</v>
      </c>
      <c r="F7" s="17" t="s">
        <v>116</v>
      </c>
      <c r="G7" s="17" t="s">
        <v>111</v>
      </c>
      <c r="H7" s="17" t="s">
        <v>109</v>
      </c>
      <c r="I7" s="17" t="s">
        <v>11</v>
      </c>
      <c r="J7" s="17" t="s">
        <v>13</v>
      </c>
      <c r="K7" s="18" t="s">
        <v>99</v>
      </c>
      <c r="L7" s="17" t="s">
        <v>15</v>
      </c>
      <c r="M7" s="17" t="s">
        <v>113</v>
      </c>
      <c r="N7" s="19" t="s">
        <v>101</v>
      </c>
      <c r="O7" s="17"/>
    </row>
  </sheetData>
  <hyperlinks>
    <hyperlink ref="O6" r:id="rId1" display="surajit.ghara@gmail.com" xr:uid="{1E8215DF-90F2-48B7-8074-2C9CCDDAA1BC}"/>
  </hyperlinks>
  <pageMargins left="0.7" right="0.7" top="0.75" bottom="0.75" header="0.3" footer="0.3"/>
  <pageSetup paperSize="9" orientation="portrait" r:id="rId2"/>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726C0A-FD46-48FB-A031-057F5C1CD939}">
  <sheetPr codeName="Sheet3"/>
  <dimension ref="A5:W11"/>
  <sheetViews>
    <sheetView showGridLines="0" showRowColHeaders="0" zoomScale="135" workbookViewId="0">
      <selection activeCell="A6" sqref="A6"/>
    </sheetView>
  </sheetViews>
  <sheetFormatPr defaultColWidth="0" defaultRowHeight="15" x14ac:dyDescent="0.25"/>
  <cols>
    <col min="1" max="1" width="18.42578125" style="33" customWidth="1"/>
    <col min="2" max="2" width="20.42578125" style="16" customWidth="1"/>
    <col min="3" max="3" width="19" style="16" bestFit="1" customWidth="1"/>
    <col min="4" max="4" width="11.85546875" style="16" customWidth="1"/>
    <col min="5" max="5" width="22.42578125" style="33" customWidth="1"/>
    <col min="6" max="6" width="17.28515625" style="34" customWidth="1"/>
    <col min="7" max="7" width="11" style="34" customWidth="1"/>
    <col min="8" max="8" width="10" style="16" bestFit="1" customWidth="1"/>
    <col min="9" max="9" width="13.28515625" style="16" customWidth="1"/>
    <col min="10" max="12" width="14.28515625" style="16" customWidth="1"/>
    <col min="13" max="13" width="17.28515625" style="16" customWidth="1"/>
    <col min="14" max="14" width="9.42578125" style="16" customWidth="1"/>
    <col min="15" max="15" width="8.85546875" style="16" bestFit="1" customWidth="1"/>
    <col min="16" max="16" width="14.28515625" style="16" customWidth="1"/>
    <col min="17" max="17" width="17.28515625" style="16" customWidth="1"/>
    <col min="18" max="18" width="17.42578125" style="16" bestFit="1" customWidth="1"/>
    <col min="19" max="19" width="10.7109375" style="16" customWidth="1"/>
    <col min="20" max="23" width="9.140625" style="16" customWidth="1"/>
    <col min="24" max="16384" width="9.140625" style="16" hidden="1"/>
  </cols>
  <sheetData>
    <row r="5" spans="1:18" x14ac:dyDescent="0.25">
      <c r="A5" s="2" t="s">
        <v>75</v>
      </c>
      <c r="B5" s="2" t="s">
        <v>41</v>
      </c>
      <c r="C5" s="4" t="s">
        <v>76</v>
      </c>
      <c r="D5" s="4" t="s">
        <v>0</v>
      </c>
      <c r="E5" s="2" t="s">
        <v>16</v>
      </c>
      <c r="F5" s="3" t="s">
        <v>3</v>
      </c>
      <c r="G5" s="4" t="s">
        <v>79</v>
      </c>
      <c r="H5" s="4" t="s">
        <v>21</v>
      </c>
      <c r="I5" s="4" t="s">
        <v>20</v>
      </c>
      <c r="J5" s="3" t="s">
        <v>17</v>
      </c>
      <c r="K5" s="3" t="s">
        <v>19</v>
      </c>
      <c r="L5" s="3" t="s">
        <v>18</v>
      </c>
      <c r="M5" s="3" t="s">
        <v>22</v>
      </c>
      <c r="N5" s="4" t="s">
        <v>39</v>
      </c>
      <c r="O5" s="4" t="s">
        <v>37</v>
      </c>
      <c r="P5" s="3" t="s">
        <v>38</v>
      </c>
      <c r="Q5" s="3" t="s">
        <v>7</v>
      </c>
      <c r="R5" s="2" t="s">
        <v>77</v>
      </c>
    </row>
    <row r="6" spans="1:18" x14ac:dyDescent="0.25">
      <c r="A6" s="16" t="s">
        <v>27</v>
      </c>
      <c r="B6" s="23" t="s">
        <v>106</v>
      </c>
      <c r="C6" s="24" t="s">
        <v>124</v>
      </c>
      <c r="D6" s="25">
        <v>45900</v>
      </c>
      <c r="E6" s="16" t="s">
        <v>129</v>
      </c>
      <c r="F6" s="26">
        <v>150000</v>
      </c>
      <c r="G6" s="27" t="s">
        <v>78</v>
      </c>
      <c r="H6" s="24" t="s">
        <v>17</v>
      </c>
      <c r="I6" s="28">
        <v>0.18</v>
      </c>
      <c r="J6" s="29">
        <f>IF(Invoices[[#This Row],[GST Type]]="IGST",(Invoices[[#This Row],[Amount]]*Invoices[[#This Row],[Rate of Tax]]),0)</f>
        <v>27000</v>
      </c>
      <c r="K6" s="26">
        <f>IF(Invoices[[#This Row],[GST Type]]="GST",Invoices[[#This Row],[Amount]]*Invoices[[#This Row],[Rate of Tax]]/2,0)</f>
        <v>0</v>
      </c>
      <c r="L6" s="26">
        <f>IF(Invoices[[#This Row],[GST Type]]="GST",Invoices[[#This Row],[Amount]]*Invoices[[#This Row],[Rate of Tax]]/2,0)</f>
        <v>0</v>
      </c>
      <c r="M6" s="26">
        <f>Invoices[[#This Row],[Amount]]+Invoices[[#This Row],[IGST]]+Invoices[[#This Row],[SGST]]+Invoices[[#This Row],[CGST]]</f>
        <v>177000</v>
      </c>
      <c r="N6" s="30" t="s">
        <v>40</v>
      </c>
      <c r="O6" s="28">
        <v>0.1</v>
      </c>
      <c r="P6" s="26">
        <f>IF(Invoices[[#This Row],[TDS Y/N]]="Yes",Invoices[[#This Row],[Amount]]*Invoices[[#This Row],[TDS %]],0)</f>
        <v>0</v>
      </c>
      <c r="Q6" s="26">
        <f>Invoices[[#This Row],[Amount]]+Invoices[[#This Row],[IGST]]+Invoices[[#This Row],[SGST]]+Invoices[[#This Row],[CGST]]-Invoices[[#This Row],[TDS ₹]]</f>
        <v>177000</v>
      </c>
      <c r="R6" s="31"/>
    </row>
    <row r="7" spans="1:18" x14ac:dyDescent="0.25">
      <c r="A7" s="16" t="s">
        <v>46</v>
      </c>
      <c r="B7" s="23" t="s">
        <v>105</v>
      </c>
      <c r="C7" s="24" t="s">
        <v>125</v>
      </c>
      <c r="D7" s="25">
        <v>45900</v>
      </c>
      <c r="E7" s="16" t="s">
        <v>130</v>
      </c>
      <c r="F7" s="26">
        <v>250000</v>
      </c>
      <c r="G7" s="27" t="s">
        <v>80</v>
      </c>
      <c r="H7" s="24" t="s">
        <v>5</v>
      </c>
      <c r="I7" s="28">
        <v>0.18</v>
      </c>
      <c r="J7" s="29">
        <f>IF(Invoices[[#This Row],[GST Type]]="IGST",(Invoices[[#This Row],[Amount]]*Invoices[[#This Row],[Rate of Tax]]),0)</f>
        <v>0</v>
      </c>
      <c r="K7" s="26">
        <f>IF(Invoices[[#This Row],[GST Type]]="GST",Invoices[[#This Row],[Amount]]*Invoices[[#This Row],[Rate of Tax]]/2,0)</f>
        <v>22500</v>
      </c>
      <c r="L7" s="26">
        <f>IF(Invoices[[#This Row],[GST Type]]="GST",Invoices[[#This Row],[Amount]]*Invoices[[#This Row],[Rate of Tax]]/2,0)</f>
        <v>22500</v>
      </c>
      <c r="M7" s="26">
        <f>Invoices[[#This Row],[Amount]]+Invoices[[#This Row],[IGST]]+Invoices[[#This Row],[SGST]]+Invoices[[#This Row],[CGST]]</f>
        <v>295000</v>
      </c>
      <c r="N7" s="30" t="s">
        <v>36</v>
      </c>
      <c r="O7" s="28">
        <v>0.1</v>
      </c>
      <c r="P7" s="26">
        <f>IF(Invoices[[#This Row],[TDS Y/N]]="Yes",Invoices[[#This Row],[Amount]]*Invoices[[#This Row],[TDS %]],0)</f>
        <v>25000</v>
      </c>
      <c r="Q7" s="26">
        <f>Invoices[[#This Row],[Amount]]+Invoices[[#This Row],[IGST]]+Invoices[[#This Row],[SGST]]+Invoices[[#This Row],[CGST]]-Invoices[[#This Row],[TDS ₹]]</f>
        <v>270000</v>
      </c>
      <c r="R7" s="31"/>
    </row>
    <row r="8" spans="1:18" x14ac:dyDescent="0.25">
      <c r="A8" s="16" t="s">
        <v>43</v>
      </c>
      <c r="B8" s="23" t="s">
        <v>106</v>
      </c>
      <c r="C8" s="24" t="s">
        <v>126</v>
      </c>
      <c r="D8" s="25">
        <v>45930</v>
      </c>
      <c r="E8" s="16" t="s">
        <v>132</v>
      </c>
      <c r="F8" s="26">
        <v>140000</v>
      </c>
      <c r="G8" s="27"/>
      <c r="H8" s="24" t="s">
        <v>45</v>
      </c>
      <c r="I8" s="28">
        <v>0.18</v>
      </c>
      <c r="J8" s="29">
        <f>IF(Invoices[[#This Row],[GST Type]]="IGST",(Invoices[[#This Row],[Amount]]*Invoices[[#This Row],[Rate of Tax]]),0)</f>
        <v>0</v>
      </c>
      <c r="K8" s="26">
        <f>IF(Invoices[[#This Row],[GST Type]]="GST",Invoices[[#This Row],[Amount]]*Invoices[[#This Row],[Rate of Tax]]/2,0)</f>
        <v>0</v>
      </c>
      <c r="L8" s="26">
        <f>IF(Invoices[[#This Row],[GST Type]]="GST",Invoices[[#This Row],[Amount]]*Invoices[[#This Row],[Rate of Tax]]/2,0)</f>
        <v>0</v>
      </c>
      <c r="M8" s="26">
        <f>Invoices[[#This Row],[Amount]]+Invoices[[#This Row],[IGST]]+Invoices[[#This Row],[SGST]]+Invoices[[#This Row],[CGST]]</f>
        <v>140000</v>
      </c>
      <c r="N8" s="30"/>
      <c r="O8" s="28"/>
      <c r="P8" s="26">
        <f>IF(Invoices[[#This Row],[TDS Y/N]]="Yes",Invoices[[#This Row],[Amount]]*Invoices[[#This Row],[TDS %]],0)</f>
        <v>0</v>
      </c>
      <c r="Q8" s="26">
        <f>Invoices[[#This Row],[Amount]]+Invoices[[#This Row],[IGST]]+Invoices[[#This Row],[SGST]]+Invoices[[#This Row],[CGST]]-Invoices[[#This Row],[TDS ₹]]</f>
        <v>140000</v>
      </c>
      <c r="R8" s="31"/>
    </row>
    <row r="9" spans="1:18" x14ac:dyDescent="0.25">
      <c r="A9" s="16" t="s">
        <v>74</v>
      </c>
      <c r="B9" s="23" t="s">
        <v>105</v>
      </c>
      <c r="C9" s="24" t="s">
        <v>127</v>
      </c>
      <c r="D9" s="25">
        <v>45930</v>
      </c>
      <c r="E9" s="16" t="s">
        <v>131</v>
      </c>
      <c r="F9" s="26">
        <v>260000</v>
      </c>
      <c r="G9" s="27"/>
      <c r="H9" s="24" t="s">
        <v>5</v>
      </c>
      <c r="I9" s="28">
        <v>0.18</v>
      </c>
      <c r="J9" s="29">
        <f>IF(Invoices[[#This Row],[GST Type]]="IGST",(Invoices[[#This Row],[Amount]]*Invoices[[#This Row],[Rate of Tax]]),0)</f>
        <v>0</v>
      </c>
      <c r="K9" s="26">
        <f>IF(Invoices[[#This Row],[GST Type]]="GST",Invoices[[#This Row],[Amount]]*Invoices[[#This Row],[Rate of Tax]]/2,0)</f>
        <v>23400</v>
      </c>
      <c r="L9" s="26">
        <f>IF(Invoices[[#This Row],[GST Type]]="GST",Invoices[[#This Row],[Amount]]*Invoices[[#This Row],[Rate of Tax]]/2,0)</f>
        <v>23400</v>
      </c>
      <c r="M9" s="26">
        <f>Invoices[[#This Row],[Amount]]+Invoices[[#This Row],[IGST]]+Invoices[[#This Row],[SGST]]+Invoices[[#This Row],[CGST]]</f>
        <v>306800</v>
      </c>
      <c r="N9" s="30"/>
      <c r="O9" s="28"/>
      <c r="P9" s="26">
        <f>IF(Invoices[[#This Row],[TDS Y/N]]="Yes",Invoices[[#This Row],[Amount]]*Invoices[[#This Row],[TDS %]],0)</f>
        <v>0</v>
      </c>
      <c r="Q9" s="26">
        <f>Invoices[[#This Row],[Amount]]+Invoices[[#This Row],[IGST]]+Invoices[[#This Row],[SGST]]+Invoices[[#This Row],[CGST]]-Invoices[[#This Row],[TDS ₹]]</f>
        <v>306800</v>
      </c>
      <c r="R9" s="31"/>
    </row>
    <row r="10" spans="1:18" x14ac:dyDescent="0.25">
      <c r="A10" s="16" t="s">
        <v>43</v>
      </c>
      <c r="B10" s="23" t="s">
        <v>105</v>
      </c>
      <c r="C10" s="25" t="s">
        <v>128</v>
      </c>
      <c r="D10" s="25">
        <v>45960</v>
      </c>
      <c r="E10" s="16" t="s">
        <v>133</v>
      </c>
      <c r="F10" s="26">
        <v>200000</v>
      </c>
      <c r="G10" s="27"/>
      <c r="H10" s="24" t="s">
        <v>5</v>
      </c>
      <c r="I10" s="28">
        <v>0.18</v>
      </c>
      <c r="J10" s="29">
        <f>IF(Invoices[[#This Row],[GST Type]]="IGST",(Invoices[[#This Row],[Amount]]*Invoices[[#This Row],[Rate of Tax]]),0)</f>
        <v>0</v>
      </c>
      <c r="K10" s="26">
        <f>IF(Invoices[[#This Row],[GST Type]]="GST",Invoices[[#This Row],[Amount]]*Invoices[[#This Row],[Rate of Tax]]/2,0)</f>
        <v>18000</v>
      </c>
      <c r="L10" s="26">
        <f>IF(Invoices[[#This Row],[GST Type]]="GST",Invoices[[#This Row],[Amount]]*Invoices[[#This Row],[Rate of Tax]]/2,0)</f>
        <v>18000</v>
      </c>
      <c r="M10" s="26">
        <f>Invoices[[#This Row],[Amount]]+Invoices[[#This Row],[IGST]]+Invoices[[#This Row],[SGST]]+Invoices[[#This Row],[CGST]]</f>
        <v>236000</v>
      </c>
      <c r="N10" s="30"/>
      <c r="O10" s="28"/>
      <c r="P10" s="26">
        <f>IF(Invoices[[#This Row],[TDS Y/N]]="Yes",Invoices[[#This Row],[Amount]]*Invoices[[#This Row],[TDS %]],0)</f>
        <v>0</v>
      </c>
      <c r="Q10" s="26">
        <f>Invoices[[#This Row],[Amount]]+Invoices[[#This Row],[IGST]]+Invoices[[#This Row],[SGST]]+Invoices[[#This Row],[CGST]]-Invoices[[#This Row],[TDS ₹]]</f>
        <v>236000</v>
      </c>
      <c r="R10" s="31"/>
    </row>
    <row r="11" spans="1:18" x14ac:dyDescent="0.25">
      <c r="A11" s="16"/>
      <c r="B11" s="16" t="s">
        <v>6</v>
      </c>
      <c r="C11" s="24"/>
      <c r="E11" s="16"/>
      <c r="F11" s="32">
        <f>SUBTOTAL(109,Invoices[Amount])</f>
        <v>1000000</v>
      </c>
      <c r="G11" s="32"/>
      <c r="H11" s="24"/>
      <c r="I11" s="24"/>
      <c r="J11" s="32">
        <f>SUBTOTAL(109,Invoices[IGST])</f>
        <v>27000</v>
      </c>
      <c r="K11" s="32">
        <f>SUBTOTAL(109,Invoices[SGST])</f>
        <v>63900</v>
      </c>
      <c r="L11" s="32">
        <f>SUBTOTAL(109,Invoices[CGST])</f>
        <v>63900</v>
      </c>
      <c r="M11" s="32">
        <f>SUBTOTAL(109,Invoices[Invoice Value])</f>
        <v>1154800</v>
      </c>
      <c r="N11" s="32"/>
      <c r="O11" s="32"/>
      <c r="P11" s="32">
        <f>SUBTOTAL(109,Invoices[TDS ₹])</f>
        <v>25000</v>
      </c>
      <c r="Q11" s="32">
        <f>SUBTOTAL(109,Invoices[Net Pay])</f>
        <v>1129800</v>
      </c>
    </row>
  </sheetData>
  <dataValidations count="6">
    <dataValidation type="list" allowBlank="1" showInputMessage="1" showErrorMessage="1" sqref="H6:H10" xr:uid="{0BE5F81E-2A52-40F3-87D9-9168191B1AB4}">
      <formula1>"IGST, GST, Exempt"</formula1>
    </dataValidation>
    <dataValidation type="list" allowBlank="1" showInputMessage="1" showErrorMessage="1" sqref="A6:A10" xr:uid="{3CA0E525-A24B-4B50-BD1F-1969F3F85792}">
      <formula1>"Tax invoice, Proforma Invoice, Quotation, Credit Note"</formula1>
    </dataValidation>
    <dataValidation type="list" allowBlank="1" showInputMessage="1" showErrorMessage="1" sqref="N6:N10" xr:uid="{6B56BF07-3F29-4511-BDB9-1B7D73AACDD2}">
      <formula1>"Yes, No"</formula1>
    </dataValidation>
    <dataValidation type="list" showInputMessage="1" showErrorMessage="1" sqref="B6:B10" xr:uid="{72C6EE6B-4DA8-4B4B-891D-A6990A17AD6C}">
      <formula1>FamilarNames</formula1>
    </dataValidation>
    <dataValidation type="textLength" errorStyle="warning" allowBlank="1" showInputMessage="1" showErrorMessage="1" errorTitle="SAC Number" error="SAC should be a 4 to 8 digit number, can start with 0s" sqref="G6:G10" xr:uid="{C7062D69-6A0A-49CD-BF15-087474EF6405}">
      <formula1>4</formula1>
      <formula2>8</formula2>
    </dataValidation>
    <dataValidation type="list" allowBlank="1" showInputMessage="1" showErrorMessage="1" sqref="R6:R10" xr:uid="{843DC5F5-623E-4FA2-A2DE-AF49A2694CA7}">
      <formula1>"Cancelled, Not Cancelled"</formula1>
    </dataValidation>
  </dataValidations>
  <pageMargins left="0.7" right="0.7" top="0.75" bottom="0.75" header="0.3" footer="0.3"/>
  <pageSetup paperSize="9"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L46"/>
  <sheetViews>
    <sheetView showGridLines="0" showRowColHeaders="0" zoomScaleNormal="100" workbookViewId="0">
      <selection activeCell="K11" sqref="K11"/>
    </sheetView>
  </sheetViews>
  <sheetFormatPr defaultColWidth="0" defaultRowHeight="15" zeroHeight="1" x14ac:dyDescent="0.25"/>
  <cols>
    <col min="1" max="2" width="9.140625" style="1" customWidth="1"/>
    <col min="3" max="3" width="7.28515625" style="1" customWidth="1"/>
    <col min="4" max="7" width="19.85546875" style="1" customWidth="1"/>
    <col min="8" max="8" width="7.28515625" style="1" customWidth="1"/>
    <col min="9" max="9" width="9.140625" style="1" customWidth="1"/>
    <col min="10" max="10" width="21.7109375" style="1" bestFit="1" customWidth="1"/>
    <col min="11" max="11" width="11.85546875" style="1" customWidth="1"/>
    <col min="12" max="12" width="9.140625" style="1" customWidth="1"/>
    <col min="13" max="16384" width="9.140625" style="1" hidden="1"/>
  </cols>
  <sheetData>
    <row r="1" spans="3:11" ht="15.75" thickBot="1" x14ac:dyDescent="0.3"/>
    <row r="2" spans="3:11" x14ac:dyDescent="0.25">
      <c r="C2" s="41"/>
      <c r="D2" s="42"/>
      <c r="E2" s="42"/>
      <c r="F2" s="42"/>
      <c r="G2" s="42"/>
      <c r="H2" s="43"/>
    </row>
    <row r="3" spans="3:11" ht="69" customHeight="1" x14ac:dyDescent="0.25">
      <c r="C3" s="44"/>
      <c r="D3" s="80"/>
      <c r="E3" s="81"/>
      <c r="F3" s="82" t="str">
        <f>_xlfn.XLOOKUP(E12,Invoices[Document Number],Invoices[Document Type],,0,1)</f>
        <v>Proforma Invoice</v>
      </c>
      <c r="G3" s="83"/>
      <c r="H3" s="45"/>
    </row>
    <row r="4" spans="3:11" ht="15.75" x14ac:dyDescent="0.25">
      <c r="C4" s="44"/>
      <c r="D4" s="87" t="s">
        <v>1</v>
      </c>
      <c r="E4" s="88"/>
      <c r="F4" s="87" t="s">
        <v>14</v>
      </c>
      <c r="G4" s="88"/>
      <c r="H4" s="45"/>
    </row>
    <row r="5" spans="3:11" ht="21.75" customHeight="1" x14ac:dyDescent="0.25">
      <c r="C5" s="44"/>
      <c r="D5" s="89" t="str">
        <f>'Supplier Master'!E7&amp;" "&amp;'Supplier Master'!E8</f>
        <v>M/s. XYZ Private Limited</v>
      </c>
      <c r="E5" s="90"/>
      <c r="F5" s="89" t="str" cm="1">
        <f t="array" ref="F5">_xlfn.TEXTJOIN(" ",TRUE,_xlfn.XLOOKUP(FN, Receivers[Familiar Name], Receivers[Title],"",0,1),_xlfn.XLOOKUP(FN, Receivers[Familiar Name], Receivers[Name of Receiver],"",0,1))</f>
        <v>M/s. Enjoy Hospitality</v>
      </c>
      <c r="G5" s="90"/>
      <c r="H5" s="45"/>
    </row>
    <row r="6" spans="3:11" ht="96.75" customHeight="1" x14ac:dyDescent="0.25">
      <c r="C6" s="44"/>
      <c r="D6" s="91" t="str">
        <f>_xlfn.TEXTJOIN(CHAR(10),TRUE,'Supplier Master'!E13:E17)&amp;"
"&amp;'Supplier Master'!E18&amp;" - "&amp;'Supplier Master'!E19</f>
        <v>abc Plazaria
#010
nth Cross, Xyz Road
Place
City
State - 000000</v>
      </c>
      <c r="E6" s="92"/>
      <c r="F6" s="91" t="str" cm="1">
        <f t="array" ref="F6">_xlfn.LET(
_xlpm.Adr, _xlfn.XLOOKUP(FN, Receivers[Familiar Name], Receivers[[Building Name]:[PIN]]),
    _xlfn.TEXTJOIN(CHAR(10), TRUE,
        INDEX(_xlpm.Adr,1),
        INDEX(_xlpm.Adr,2),
        INDEX(_xlpm.Adr,3),
        INDEX(_xlpm.Adr,4),
        INDEX(_xlpm.Adr,5),
        _xlfn.TEXTJOIN("-", FALSE, INDEX(_xlpm.Adr,6), INDEX(_xlpm.Adr,7))
    )
)</f>
        <v>#3YZ
3rd Cross, 5th Main
Y Nagar
City
State-111111</v>
      </c>
      <c r="G6" s="92"/>
      <c r="H6" s="45"/>
    </row>
    <row r="7" spans="3:11" ht="26.25" customHeight="1" x14ac:dyDescent="0.25">
      <c r="C7" s="44"/>
      <c r="D7" s="89" t="str">
        <f>'Supplier Master'!E9</f>
        <v>00AAAAA0000A1ZA</v>
      </c>
      <c r="E7" s="90"/>
      <c r="F7" s="95" t="str">
        <f>_xlfn.XLOOKUP(_xlfn.XLOOKUP(E12, Invoices[Document Number],Invoices[Familiar Name],"",0,1),Receivers[Familiar Name],Receivers[GSTN],"",0,1)</f>
        <v>11BBBBB0000B1ZB</v>
      </c>
      <c r="G7" s="90"/>
      <c r="H7" s="45"/>
    </row>
    <row r="8" spans="3:11" x14ac:dyDescent="0.25">
      <c r="C8" s="44"/>
      <c r="D8" s="93" t="s">
        <v>8</v>
      </c>
      <c r="E8" s="94"/>
      <c r="F8" s="93" t="s">
        <v>8</v>
      </c>
      <c r="G8" s="94"/>
      <c r="H8" s="45"/>
    </row>
    <row r="9" spans="3:11" ht="48" customHeight="1" x14ac:dyDescent="0.25">
      <c r="C9" s="44"/>
      <c r="D9" s="75" t="str">
        <f>_xlfn.TEXTJOIN(" ",TRUE,'Supplier Master'!E22,'Supplier Master'!E23)&amp;"
"&amp;_xlfn.TEXTJOIN("
",FALSE,'Supplier Master'!E24,'Supplier Master'!E25)</f>
        <v>Mr. Name of contact person
+910000000000
supplier@email.com</v>
      </c>
      <c r="E9" s="76"/>
      <c r="F9" s="75" t="str" cm="1">
        <f t="array" ref="F9">_xlfn.LET(
    _xlpm.r, _xlfn.XLOOKUP(FN, Receivers[Familiar Name], Receivers[[Contact Title]:[Email ID]]),
    _xlfn.TEXTJOIN(" ", FALSE, INDEX(_xlpm.r,1), INDEX(_xlpm.r,2)) &amp; CHAR(10) &amp;
    _xlfn.TEXTJOIN(CHAR(10), FALSE, INDEX(_xlpm.r,3), INDEX(_xlpm.r,4))
)</f>
        <v>Mr. Joy Seb
+911111111111
joy.seb@gmail.com</v>
      </c>
      <c r="G9" s="76"/>
      <c r="H9" s="45"/>
    </row>
    <row r="10" spans="3:11" x14ac:dyDescent="0.25">
      <c r="C10" s="44"/>
      <c r="H10" s="45"/>
    </row>
    <row r="11" spans="3:11" x14ac:dyDescent="0.25">
      <c r="C11" s="44"/>
      <c r="F11" s="84" t="str">
        <f>IF(_xlfn.XLOOKUP(E12,Invoices[Document Number],Invoices[TDS Y/N],"",0,1)="Yes","TDS Details","")</f>
        <v/>
      </c>
      <c r="G11" s="85"/>
      <c r="H11" s="45"/>
      <c r="J11" s="46" t="s">
        <v>42</v>
      </c>
      <c r="K11" s="35" t="s">
        <v>124</v>
      </c>
    </row>
    <row r="12" spans="3:11" x14ac:dyDescent="0.25">
      <c r="C12" s="44"/>
      <c r="D12" s="47" t="s">
        <v>61</v>
      </c>
      <c r="E12" s="48" t="str">
        <f>K11</f>
        <v>2508EM09</v>
      </c>
      <c r="F12" s="49" t="str" cm="1">
        <f t="array" ref="F12">IF(_xlfn.XLOOKUP(E12,Invoices[Document Number],Invoices[TDS Y/N],"",0,1)="Yes",_xlfn.LET(
    _xlpm.desc, {"TDS ₹";"Net Pay"},
    _xlpm.vals, _xlfn.VSTACK(
        _xlfn.XLOOKUP(Invoice!E12, Invoices[Document Number], Invoices[TDS ₹]),
        _xlfn.XLOOKUP(Invoice!E12, Invoices[Document Number], Invoices[Net Pay])
    ),
    _xlfn.HSTACK(_xlpm.desc, _xlpm.vals)
),"")</f>
        <v/>
      </c>
      <c r="G12" s="50"/>
      <c r="H12" s="45"/>
      <c r="J12" s="46" t="s">
        <v>58</v>
      </c>
      <c r="K12" s="35" t="s">
        <v>36</v>
      </c>
    </row>
    <row r="13" spans="3:11" x14ac:dyDescent="0.25">
      <c r="C13" s="44"/>
      <c r="D13" s="51" t="s">
        <v>60</v>
      </c>
      <c r="E13" s="52">
        <f>_xlfn.XLOOKUP(E12,Invoices[Document Number],Invoices[Date],,0,1)</f>
        <v>45900</v>
      </c>
      <c r="F13" s="53"/>
      <c r="G13" s="54"/>
      <c r="H13" s="45"/>
      <c r="J13" s="46" t="s">
        <v>82</v>
      </c>
      <c r="K13" s="35" t="s">
        <v>36</v>
      </c>
    </row>
    <row r="14" spans="3:11" x14ac:dyDescent="0.25">
      <c r="C14" s="44"/>
      <c r="D14" s="55"/>
      <c r="E14" s="56"/>
      <c r="F14" s="57"/>
      <c r="G14" s="58"/>
      <c r="H14" s="45"/>
    </row>
    <row r="15" spans="3:11" x14ac:dyDescent="0.25">
      <c r="C15" s="44"/>
      <c r="D15" s="59"/>
      <c r="E15" s="59"/>
      <c r="H15" s="45"/>
    </row>
    <row r="16" spans="3:11" x14ac:dyDescent="0.25">
      <c r="C16" s="44"/>
      <c r="D16" s="60" t="s">
        <v>2</v>
      </c>
      <c r="E16" s="60"/>
      <c r="F16" s="61" t="s">
        <v>4</v>
      </c>
      <c r="G16" s="62" t="s">
        <v>3</v>
      </c>
      <c r="H16" s="45"/>
    </row>
    <row r="17" spans="3:8" x14ac:dyDescent="0.25">
      <c r="C17" s="44"/>
      <c r="D17" s="2" t="s">
        <v>25</v>
      </c>
      <c r="E17" s="2"/>
      <c r="F17" s="4"/>
      <c r="G17" s="3"/>
      <c r="H17" s="45"/>
    </row>
    <row r="18" spans="3:8" x14ac:dyDescent="0.25">
      <c r="C18" s="44"/>
      <c r="D18" s="63" t="str">
        <f>_xlfn.XLOOKUP(E12,Invoices[Document Number],Invoices[Particulars])</f>
        <v>Service Charge</v>
      </c>
      <c r="F18" s="64">
        <f>_xlfn.XLOOKUP(E12,Invoices[Document Number],Invoices[Rate of Tax])</f>
        <v>0.18</v>
      </c>
      <c r="G18" s="58">
        <f>_xlfn.XLOOKUP(E12,Invoices[Document Number],Invoices[Amount])</f>
        <v>150000</v>
      </c>
      <c r="H18" s="45"/>
    </row>
    <row r="19" spans="3:8" x14ac:dyDescent="0.25">
      <c r="C19" s="44"/>
      <c r="F19" s="65"/>
      <c r="G19" s="66"/>
      <c r="H19" s="45"/>
    </row>
    <row r="20" spans="3:8" x14ac:dyDescent="0.25">
      <c r="C20" s="44"/>
      <c r="D20" s="2" t="str">
        <f>IF(ISNUMBER(MATCH(
  _xlfn.XLOOKUP(Invoice!E12, Invoices[Document Number], Invoices[GST Type], "", 0, 1),
  {"GST","IGST"},
  0
)),"GST","")</f>
        <v>GST</v>
      </c>
      <c r="E20" s="2"/>
      <c r="G20" s="66"/>
      <c r="H20" s="45"/>
    </row>
    <row r="21" spans="3:8" x14ac:dyDescent="0.25">
      <c r="C21" s="44"/>
      <c r="D21" s="63" t="str" cm="1">
        <f t="array" ref="D21">_xlfn.LET(
  _xlpm.GSTType, _xlfn.XLOOKUP(Invoice!E12, Invoices[Document Number], Invoices[GST Type], "", 0, 1),
  IF(_xlpm.GSTType="GST", {"SGST";"CGST"},
     IF(_xlpm.GSTType="IGST", "IGST", "")
  )
)</f>
        <v>IGST</v>
      </c>
      <c r="F21" s="65"/>
      <c r="G21" s="67" cm="1">
        <f t="array" ref="G21">_xlfn.LET(
  _xlpm.InvNo, Invoice!E12,
  _xlpm.GSTType, _xlfn.XLOOKUP(_xlpm.InvNo, Invoices[Document Number], Invoices[GST Type], ""),
  _xlpm.SGST, _xlfn.XLOOKUP(_xlpm.InvNo, Invoices[Document Number], Invoices[SGST]),
  _xlpm.CGST, _xlfn.XLOOKUP(_xlpm.InvNo, Invoices[Document Number], Invoices[CGST]),
  _xlpm.IGST, _xlfn.XLOOKUP(_xlpm.InvNo, Invoices[Document Number], Invoices[IGST]),
  IF(_xlpm.GSTType="GST",
     _xlfn.VSTACK(_xlpm.SGST, _xlpm.CGST),
     IF(_xlpm.GSTType="IGST", _xlpm.IGST, "")
  )
)</f>
        <v>27000</v>
      </c>
      <c r="H21" s="45"/>
    </row>
    <row r="22" spans="3:8" x14ac:dyDescent="0.25">
      <c r="C22" s="44"/>
      <c r="D22" s="63"/>
      <c r="F22" s="65"/>
      <c r="G22" s="67"/>
      <c r="H22" s="45"/>
    </row>
    <row r="23" spans="3:8" x14ac:dyDescent="0.25">
      <c r="C23" s="44"/>
      <c r="D23" s="63"/>
      <c r="F23" s="65"/>
      <c r="G23"/>
      <c r="H23" s="45"/>
    </row>
    <row r="24" spans="3:8" x14ac:dyDescent="0.25">
      <c r="C24" s="44"/>
      <c r="G24" s="66"/>
      <c r="H24" s="45"/>
    </row>
    <row r="25" spans="3:8" ht="15.75" thickBot="1" x14ac:dyDescent="0.3">
      <c r="C25" s="44"/>
      <c r="D25" s="68" t="s">
        <v>6</v>
      </c>
      <c r="E25" s="68"/>
      <c r="F25" s="68"/>
      <c r="G25" s="69">
        <f>ROUND(_xlfn.XLOOKUP(E12,Invoices[Document Number],Invoices[Invoice Value]),0)</f>
        <v>177000</v>
      </c>
      <c r="H25" s="45"/>
    </row>
    <row r="26" spans="3:8" ht="15.75" thickTop="1" x14ac:dyDescent="0.25">
      <c r="C26" s="44"/>
      <c r="D26" s="1" t="s">
        <v>44</v>
      </c>
      <c r="G26" s="57" t="s">
        <v>26</v>
      </c>
      <c r="H26" s="45"/>
    </row>
    <row r="27" spans="3:8" ht="16.5" customHeight="1" x14ac:dyDescent="0.25">
      <c r="C27" s="44"/>
      <c r="D27" s="86" t="str" cm="1">
        <f t="array" ref="D27">"INR "&amp;NumberToWordsLakh(G25)&amp;" Only."</f>
        <v>INR One Lakh Seventy Seven Thousand Hundred Only.</v>
      </c>
      <c r="E27" s="86"/>
      <c r="F27" s="86"/>
      <c r="G27" s="86"/>
      <c r="H27" s="45"/>
    </row>
    <row r="28" spans="3:8" x14ac:dyDescent="0.25">
      <c r="C28" s="44"/>
      <c r="H28" s="45"/>
    </row>
    <row r="29" spans="3:8" x14ac:dyDescent="0.25">
      <c r="C29" s="44"/>
      <c r="D29" s="79" t="str">
        <f>IF(K13="Yes","Bank Details for Payment","")</f>
        <v>Bank Details for Payment</v>
      </c>
      <c r="E29" s="79"/>
      <c r="F29" s="3" t="str" cm="1">
        <f t="array" ref="F29:G29">_xlfn.LET(
_xlpm.SAC, _xlfn.XLOOKUP(E12,Invoices[Document Number],Invoices[SAC],"",0,1),
IF(_xlpm.SAC&lt;&gt;"",_xlfn.HSTACK("SAC",_xlpm.SAC)," ")
)</f>
        <v>SAC</v>
      </c>
      <c r="G29" s="1" t="str">
        <v>001122</v>
      </c>
      <c r="H29" s="45"/>
    </row>
    <row r="30" spans="3:8" x14ac:dyDescent="0.25">
      <c r="C30" s="44"/>
      <c r="D30" s="57" t="str" cm="1">
        <f t="array" ref="D30:E33">IF(K13="Yes",Bank_Details[],"")</f>
        <v>Account Name :</v>
      </c>
      <c r="E30" s="1" t="str">
        <v>Name</v>
      </c>
      <c r="H30" s="45"/>
    </row>
    <row r="31" spans="3:8" x14ac:dyDescent="0.25">
      <c r="C31" s="44"/>
      <c r="D31" s="57" t="str">
        <v>Account No. :</v>
      </c>
      <c r="E31" s="1" t="str">
        <v>11111111111111</v>
      </c>
      <c r="H31" s="45"/>
    </row>
    <row r="32" spans="3:8" x14ac:dyDescent="0.25">
      <c r="C32" s="44"/>
      <c r="D32" s="57" t="str">
        <v>Bank :</v>
      </c>
      <c r="E32" s="1" t="str">
        <v>xyz bank limited</v>
      </c>
      <c r="H32" s="45"/>
    </row>
    <row r="33" spans="3:8" x14ac:dyDescent="0.25">
      <c r="C33" s="44"/>
      <c r="D33" s="57" t="str">
        <v>IFS Code :</v>
      </c>
      <c r="E33" s="1" t="str">
        <v>AAAA0666666</v>
      </c>
      <c r="H33" s="45"/>
    </row>
    <row r="34" spans="3:8" x14ac:dyDescent="0.25">
      <c r="C34" s="44"/>
      <c r="H34" s="45"/>
    </row>
    <row r="35" spans="3:8" x14ac:dyDescent="0.25">
      <c r="C35" s="44"/>
      <c r="H35" s="45"/>
    </row>
    <row r="36" spans="3:8" x14ac:dyDescent="0.25">
      <c r="C36" s="44"/>
      <c r="E36" s="2"/>
      <c r="F36" s="78" t="str">
        <f>IF(K12="Yes","For "&amp; D5,"")</f>
        <v>For M/s. XYZ Private Limited</v>
      </c>
      <c r="G36" s="78"/>
      <c r="H36" s="45"/>
    </row>
    <row r="37" spans="3:8" x14ac:dyDescent="0.25">
      <c r="C37" s="44"/>
      <c r="D37" s="3"/>
      <c r="E37" s="3"/>
      <c r="F37" s="3"/>
      <c r="G37" s="3"/>
      <c r="H37" s="45"/>
    </row>
    <row r="38" spans="3:8" x14ac:dyDescent="0.25">
      <c r="C38" s="44"/>
      <c r="H38" s="45"/>
    </row>
    <row r="39" spans="3:8" x14ac:dyDescent="0.25">
      <c r="C39" s="44"/>
      <c r="H39" s="45"/>
    </row>
    <row r="40" spans="3:8" x14ac:dyDescent="0.25">
      <c r="C40" s="44"/>
      <c r="H40" s="45"/>
    </row>
    <row r="41" spans="3:8" x14ac:dyDescent="0.25">
      <c r="C41" s="44"/>
      <c r="D41" s="77" t="str">
        <f>IF(K12="Yes","Customers Seal and Signature","")</f>
        <v>Customers Seal and Signature</v>
      </c>
      <c r="E41" s="77"/>
      <c r="F41" s="74" t="str">
        <f>IF(K12="Yes","Authorised Signatory","")</f>
        <v>Authorised Signatory</v>
      </c>
      <c r="G41" s="74"/>
      <c r="H41" s="45"/>
    </row>
    <row r="42" spans="3:8" ht="20.25" customHeight="1" thickBot="1" x14ac:dyDescent="0.3">
      <c r="C42" s="70"/>
      <c r="D42" s="71"/>
      <c r="E42" s="71"/>
      <c r="F42" s="71"/>
      <c r="G42" s="71"/>
      <c r="H42" s="72"/>
    </row>
    <row r="43" spans="3:8" x14ac:dyDescent="0.25"/>
    <row r="44" spans="3:8" x14ac:dyDescent="0.25"/>
    <row r="45" spans="3:8" x14ac:dyDescent="0.25"/>
    <row r="46" spans="3:8" x14ac:dyDescent="0.25"/>
  </sheetData>
  <sheetProtection algorithmName="SHA-512" hashValue="U7Ba453ioiefRnEmx/+RhRllIn/QLWBFRek9cXvNeBSXSqZleSRPTiZmU09HPHMhTnI69KuaXTZdxavuzfdaHQ==" saltValue="dBamEbrncN/OXjLmArgKGw==" spinCount="100000" sheet="1" objects="1" scenarios="1" selectLockedCells="1"/>
  <mergeCells count="20">
    <mergeCell ref="D3:E3"/>
    <mergeCell ref="F3:G3"/>
    <mergeCell ref="F11:G11"/>
    <mergeCell ref="D9:E9"/>
    <mergeCell ref="D27:G27"/>
    <mergeCell ref="D4:E4"/>
    <mergeCell ref="D5:E5"/>
    <mergeCell ref="D6:E6"/>
    <mergeCell ref="D8:E8"/>
    <mergeCell ref="F4:G4"/>
    <mergeCell ref="F5:G5"/>
    <mergeCell ref="F6:G6"/>
    <mergeCell ref="F7:G7"/>
    <mergeCell ref="F8:G8"/>
    <mergeCell ref="D7:E7"/>
    <mergeCell ref="F41:G41"/>
    <mergeCell ref="F9:G9"/>
    <mergeCell ref="D41:E41"/>
    <mergeCell ref="F36:G36"/>
    <mergeCell ref="D29:E29"/>
  </mergeCells>
  <dataValidations count="2">
    <dataValidation type="list" allowBlank="1" showInputMessage="1" showErrorMessage="1" sqref="K11" xr:uid="{E70ECC97-56B7-4C67-84A8-E6A908CE487C}">
      <formula1>Invoice_Numbers</formula1>
    </dataValidation>
    <dataValidation type="list" allowBlank="1" showInputMessage="1" showErrorMessage="1" sqref="K12:K13" xr:uid="{5368E1DD-D51B-412D-A5CF-4DEB8A6B13A0}">
      <formula1>"Yes, No"</formula1>
    </dataValidation>
  </dataValidations>
  <printOptions horizontalCentered="1"/>
  <pageMargins left="0.70866141732283472" right="0.70866141732283472" top="0.74803149606299213" bottom="0.74803149606299213" header="0.31496062992125984" footer="0.31496062992125984"/>
  <pageSetup paperSize="9" scale="90"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2" id="{F071EF30-0BA2-4B2E-BA17-DCA2234C3082}">
            <xm:f>'Supplier Master'!#REF!="Yes"</xm:f>
            <x14:dxf>
              <font>
                <u val="none"/>
              </font>
              <border>
                <bottom style="thin">
                  <color auto="1"/>
                </bottom>
              </border>
            </x14:dxf>
          </x14:cfRule>
          <xm:sqref>D29:E29</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76BE9F79-06F0-491B-AACB-A2F2E528D8FB}">
  <ds:schemaRefs/>
</ds:datastoreItem>
</file>

<file path=customXml/itemProps2.xml><?xml version="1.0" encoding="utf-8"?>
<ds:datastoreItem xmlns:ds="http://schemas.openxmlformats.org/officeDocument/2006/customXml" ds:itemID="{3D8C9EC7-8A02-4C7E-B8AB-06FDAEBDBD24}">
  <ds:schemaRefs/>
</ds:datastoreItem>
</file>

<file path=customXml/itemProps3.xml><?xml version="1.0" encoding="utf-8"?>
<ds:datastoreItem xmlns:ds="http://schemas.openxmlformats.org/officeDocument/2006/customXml" ds:itemID="{4FC7A2E5-9F8C-49ED-9733-2CDD2871437D}">
  <ds:schemaRefs/>
</ds:datastoreItem>
</file>

<file path=customXml/itemProps4.xml><?xml version="1.0" encoding="utf-8"?>
<ds:datastoreItem xmlns:ds="http://schemas.openxmlformats.org/officeDocument/2006/customXml" ds:itemID="{1C986C84-F3FE-44AB-95EC-408AF2B50C91}">
  <ds:schemaRefs/>
</ds:datastoreItem>
</file>

<file path=customXml/itemProps5.xml><?xml version="1.0" encoding="utf-8"?>
<ds:datastoreItem xmlns:ds="http://schemas.openxmlformats.org/officeDocument/2006/customXml" ds:itemID="{E1B21EA3-4F41-4482-BA2A-D9F4DC72981E}">
  <ds:schemaRefs/>
</ds:datastoreItem>
</file>

<file path=customXml/itemProps6.xml><?xml version="1.0" encoding="utf-8"?>
<ds:datastoreItem xmlns:ds="http://schemas.openxmlformats.org/officeDocument/2006/customXml" ds:itemID="{2F3F332B-2758-46F3-A4FE-B1D476ADEE14}">
  <ds:schemaRefs/>
</ds:datastoreItem>
</file>

<file path=customXml/itemProps7.xml><?xml version="1.0" encoding="utf-8"?>
<ds:datastoreItem xmlns:ds="http://schemas.openxmlformats.org/officeDocument/2006/customXml" ds:itemID="{E1575362-6FBC-4FA0-B900-C49604FE3B2C}">
  <ds:schemaRefs/>
</ds:datastoreItem>
</file>

<file path=customXml/itemProps8.xml><?xml version="1.0" encoding="utf-8"?>
<ds:datastoreItem xmlns:ds="http://schemas.openxmlformats.org/officeDocument/2006/customXml" ds:itemID="{7CBD9074-516B-4614-9C5E-00CCC6CBA412}">
  <ds:schemaRefs/>
</ds:datastoreItem>
</file>

<file path=customXml/itemProps9.xml><?xml version="1.0" encoding="utf-8"?>
<ds:datastoreItem xmlns:ds="http://schemas.openxmlformats.org/officeDocument/2006/customXml" ds:itemID="{89914074-5FEA-48EA-B456-43F1660F5D19}">
  <ds:schemaRefs/>
</ds:datastoreItem>
</file>

<file path=customXml/itemProps10.xml><?xml version="1.0" encoding="utf-8"?>
<ds:datastoreItem xmlns:ds="http://schemas.openxmlformats.org/officeDocument/2006/customXml" ds:itemID="{AF18ED0C-5184-48DF-80CD-D93C13ED067D}">
  <ds:schemaRefs/>
</ds:datastoreItem>
</file>

<file path=customXml/itemProps11.xml><?xml version="1.0" encoding="utf-8"?>
<ds:datastoreItem xmlns:ds="http://schemas.openxmlformats.org/officeDocument/2006/customXml" ds:itemID="{945725CE-E74C-44E8-9317-15BC4783FF44}">
  <ds:schemaRefs/>
</ds:datastoreItem>
</file>

<file path=customXml/itemProps12.xml><?xml version="1.0" encoding="utf-8"?>
<ds:datastoreItem xmlns:ds="http://schemas.openxmlformats.org/officeDocument/2006/customXml" ds:itemID="{6709421D-CF6D-4FCE-8A08-7C0A7BEEB4B8}">
  <ds:schemaRefs/>
</ds:datastoreItem>
</file>

<file path=customXml/itemProps13.xml><?xml version="1.0" encoding="utf-8"?>
<ds:datastoreItem xmlns:ds="http://schemas.openxmlformats.org/officeDocument/2006/customXml" ds:itemID="{0D3C8F75-AAB0-4C00-92DB-420DD0CF9B07}">
  <ds:schemaRefs/>
</ds:datastoreItem>
</file>

<file path=customXml/itemProps14.xml><?xml version="1.0" encoding="utf-8"?>
<ds:datastoreItem xmlns:ds="http://schemas.openxmlformats.org/officeDocument/2006/customXml" ds:itemID="{BB854AAA-8466-40DA-B2B2-780964CFA5DC}">
  <ds:schemaRefs/>
</ds:datastoreItem>
</file>

<file path=customXml/itemProps15.xml><?xml version="1.0" encoding="utf-8"?>
<ds:datastoreItem xmlns:ds="http://schemas.openxmlformats.org/officeDocument/2006/customXml" ds:itemID="{B78CDFA4-ACDE-4808-A94A-4867F26B6AE4}">
  <ds:schemaRefs/>
</ds:datastoreItem>
</file>

<file path=customXml/itemProps16.xml><?xml version="1.0" encoding="utf-8"?>
<ds:datastoreItem xmlns:ds="http://schemas.openxmlformats.org/officeDocument/2006/customXml" ds:itemID="{1385511A-A685-4661-9EDF-1A9F051A9F61}">
  <ds:schemaRefs/>
</ds:datastoreItem>
</file>

<file path=customXml/itemProps17.xml><?xml version="1.0" encoding="utf-8"?>
<ds:datastoreItem xmlns:ds="http://schemas.openxmlformats.org/officeDocument/2006/customXml" ds:itemID="{CFDFF60F-2A1B-4B1C-B827-7660562A517E}">
  <ds:schemaRefs/>
</ds:datastoreItem>
</file>

<file path=customXml/itemProps18.xml><?xml version="1.0" encoding="utf-8"?>
<ds:datastoreItem xmlns:ds="http://schemas.openxmlformats.org/officeDocument/2006/customXml" ds:itemID="{DDAC0C79-01AC-411D-A71A-0BECE7D6F05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Intro &amp; Instns</vt:lpstr>
      <vt:lpstr>Supplier Master</vt:lpstr>
      <vt:lpstr>Receiver Master</vt:lpstr>
      <vt:lpstr>Inv List</vt:lpstr>
      <vt:lpstr>Invoice</vt:lpstr>
      <vt:lpstr>Invoice_Numbers</vt:lpstr>
      <vt:lpstr>Logo</vt:lpstr>
      <vt:lpstr>Invoice!Print_Area</vt:lpstr>
      <vt:lpstr>'Supplier Master'!Print_Area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Prem Chowdhary VK</dc:creator>
  <cp:lastModifiedBy>Prem Chowdhary VK</cp:lastModifiedBy>
  <cp:lastPrinted>2026-05-09T16:31:33Z</cp:lastPrinted>
  <dcterms:created xsi:type="dcterms:W3CDTF">2015-06-05T18:17:20Z</dcterms:created>
  <dcterms:modified xsi:type="dcterms:W3CDTF">2026-05-11T15:53:41Z</dcterms:modified>
</cp:coreProperties>
</file>